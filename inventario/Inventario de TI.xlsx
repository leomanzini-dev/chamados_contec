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N:\11 - TI\10 - TI\"/>
    </mc:Choice>
  </mc:AlternateContent>
  <xr:revisionPtr revIDLastSave="0" documentId="13_ncr:1_{A4793D40-A0DC-4C1B-B1B2-D77333E929A6}" xr6:coauthVersionLast="47" xr6:coauthVersionMax="47" xr10:uidLastSave="{00000000-0000-0000-0000-000000000000}"/>
  <bookViews>
    <workbookView xWindow="-120" yWindow="-120" windowWidth="20730" windowHeight="11040" tabRatio="727" xr2:uid="{00000000-000D-0000-FFFF-FFFF00000000}"/>
  </bookViews>
  <sheets>
    <sheet name="Inventario" sheetId="1" r:id="rId1"/>
    <sheet name="Sistemas" sheetId="2" r:id="rId2"/>
    <sheet name="Projetos em Andamento" sheetId="3" r:id="rId3"/>
    <sheet name="Mapa da rede" sheetId="4" r:id="rId4"/>
    <sheet name="Mapa sistemas" sheetId="5" r:id="rId5"/>
    <sheet name="Planilha1" sheetId="7" r:id="rId6"/>
    <sheet name="Orçamento" sheetId="10" r:id="rId7"/>
    <sheet name="Tarefa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1" i="1" l="1"/>
  <c r="I91" i="1" s="1"/>
  <c r="G92" i="1"/>
  <c r="I92" i="1" s="1"/>
  <c r="G90" i="1"/>
  <c r="I90" i="1" s="1"/>
  <c r="G103" i="1"/>
  <c r="I103" i="1" s="1"/>
  <c r="P66" i="1" a="1"/>
  <c r="P66" i="1" s="1"/>
  <c r="P65" i="1" l="1" a="1"/>
  <c r="P65" i="1" s="1"/>
  <c r="P68" i="1" a="1"/>
  <c r="P68" i="1" s="1"/>
  <c r="P3" i="1" a="1"/>
  <c r="P3" i="1" s="1"/>
  <c r="P4" i="1" a="1"/>
  <c r="P4" i="1" s="1"/>
  <c r="P5" i="1" a="1"/>
  <c r="P5" i="1" s="1"/>
  <c r="P6" i="1" a="1"/>
  <c r="P6" i="1" s="1"/>
  <c r="P7" i="1" a="1"/>
  <c r="P7" i="1" s="1"/>
  <c r="P8" i="1" a="1"/>
  <c r="P8" i="1" s="1"/>
  <c r="P9" i="1" a="1"/>
  <c r="P9" i="1" s="1"/>
  <c r="P10" i="1" a="1"/>
  <c r="P10" i="1" s="1"/>
  <c r="P11" i="1" a="1"/>
  <c r="P11" i="1" s="1"/>
  <c r="P12" i="1" a="1"/>
  <c r="P12" i="1" s="1"/>
  <c r="P13" i="1" a="1"/>
  <c r="P13" i="1" s="1"/>
  <c r="P14" i="1" a="1"/>
  <c r="P14" i="1" s="1"/>
  <c r="P15" i="1" a="1"/>
  <c r="P15" i="1" s="1"/>
  <c r="P16" i="1" a="1"/>
  <c r="P16" i="1" s="1"/>
  <c r="P17" i="1" a="1"/>
  <c r="P17" i="1" s="1"/>
  <c r="P18" i="1" a="1"/>
  <c r="P18" i="1" s="1"/>
  <c r="P19" i="1" a="1"/>
  <c r="P19" i="1" s="1"/>
  <c r="P20" i="1" a="1"/>
  <c r="P20" i="1" s="1"/>
  <c r="P21" i="1" a="1"/>
  <c r="P21" i="1" s="1"/>
  <c r="P22" i="1" a="1"/>
  <c r="P22" i="1" s="1"/>
  <c r="P23" i="1" a="1"/>
  <c r="P23" i="1" s="1"/>
  <c r="P24" i="1" a="1"/>
  <c r="P24" i="1" s="1"/>
  <c r="P25" i="1" a="1"/>
  <c r="P25" i="1" s="1"/>
  <c r="P26" i="1" a="1"/>
  <c r="P26" i="1" s="1"/>
  <c r="P27" i="1" a="1"/>
  <c r="P27" i="1" s="1"/>
  <c r="P28" i="1" a="1"/>
  <c r="P28" i="1" s="1"/>
  <c r="P29" i="1" a="1"/>
  <c r="P29" i="1" s="1"/>
  <c r="P30" i="1" a="1"/>
  <c r="P30" i="1" s="1"/>
  <c r="P31" i="1" a="1"/>
  <c r="P31" i="1" s="1"/>
  <c r="P32" i="1" a="1"/>
  <c r="P32" i="1" s="1"/>
  <c r="P33" i="1" a="1"/>
  <c r="P33" i="1" s="1"/>
  <c r="P34" i="1" a="1"/>
  <c r="P34" i="1" s="1"/>
  <c r="P35" i="1" a="1"/>
  <c r="P35" i="1" s="1"/>
  <c r="P36" i="1" a="1"/>
  <c r="P36" i="1" s="1"/>
  <c r="P37" i="1" a="1"/>
  <c r="P37" i="1" s="1"/>
  <c r="P38" i="1" a="1"/>
  <c r="P38" i="1" s="1"/>
  <c r="P39" i="1" a="1"/>
  <c r="P39" i="1" s="1"/>
  <c r="P40" i="1" a="1"/>
  <c r="P40" i="1" s="1"/>
  <c r="P41" i="1" a="1"/>
  <c r="P41" i="1" s="1"/>
  <c r="P42" i="1" a="1"/>
  <c r="P42" i="1" s="1"/>
  <c r="P43" i="1" a="1"/>
  <c r="P43" i="1" s="1"/>
  <c r="P44" i="1" a="1"/>
  <c r="P44" i="1" s="1"/>
  <c r="P45" i="1" a="1"/>
  <c r="P45" i="1" s="1"/>
  <c r="P46" i="1" a="1"/>
  <c r="P46" i="1" s="1"/>
  <c r="P47" i="1" a="1"/>
  <c r="P47" i="1" s="1"/>
  <c r="P48" i="1" a="1"/>
  <c r="P48" i="1" s="1"/>
  <c r="P49" i="1" a="1"/>
  <c r="P49" i="1" s="1"/>
  <c r="P50" i="1" a="1"/>
  <c r="P50" i="1" s="1"/>
  <c r="P51" i="1" a="1"/>
  <c r="P51" i="1" s="1"/>
  <c r="P52" i="1" a="1"/>
  <c r="P52" i="1" s="1"/>
  <c r="P53" i="1" a="1"/>
  <c r="P53" i="1" s="1"/>
  <c r="P54" i="1" a="1"/>
  <c r="P54" i="1" s="1"/>
  <c r="P55" i="1" a="1"/>
  <c r="P55" i="1" s="1"/>
  <c r="P56" i="1" a="1"/>
  <c r="P56" i="1" s="1"/>
  <c r="P57" i="1" a="1"/>
  <c r="P57" i="1" s="1"/>
  <c r="P58" i="1" a="1"/>
  <c r="P58" i="1" s="1"/>
  <c r="P59" i="1" a="1"/>
  <c r="P59" i="1" s="1"/>
  <c r="P60" i="1" a="1"/>
  <c r="P60" i="1" s="1"/>
  <c r="P61" i="1" a="1"/>
  <c r="P61" i="1" s="1"/>
  <c r="P62" i="1" a="1"/>
  <c r="P62" i="1" s="1"/>
  <c r="P63" i="1" a="1"/>
  <c r="P63" i="1" s="1"/>
  <c r="P64" i="1" a="1"/>
  <c r="P64" i="1" s="1"/>
  <c r="P69" i="1" a="1"/>
  <c r="P69" i="1" s="1"/>
  <c r="P70" i="1" a="1"/>
  <c r="P70" i="1" s="1"/>
  <c r="P71" i="1" a="1"/>
  <c r="P71" i="1" s="1"/>
  <c r="P72" i="1" a="1"/>
  <c r="P72" i="1" s="1"/>
  <c r="P73" i="1" a="1"/>
  <c r="P73" i="1" s="1"/>
  <c r="P2" i="1" a="1"/>
  <c r="P2" i="1" s="1"/>
  <c r="G2" i="1"/>
  <c r="I2" i="1" s="1"/>
  <c r="G74" i="1"/>
  <c r="G75" i="1"/>
  <c r="I75" i="1" s="1"/>
  <c r="G76" i="1"/>
  <c r="I76" i="1" s="1"/>
  <c r="G77" i="1"/>
  <c r="I77" i="1" s="1"/>
  <c r="G78" i="1"/>
  <c r="I78" i="1" s="1"/>
  <c r="G79" i="1"/>
  <c r="I79" i="1" s="1"/>
  <c r="G80" i="1"/>
  <c r="I80" i="1" s="1"/>
  <c r="G81" i="1"/>
  <c r="I81" i="1" s="1"/>
  <c r="G82" i="1"/>
  <c r="I82" i="1" s="1"/>
  <c r="G83" i="1"/>
  <c r="I83" i="1" s="1"/>
  <c r="G84" i="1"/>
  <c r="I84" i="1" s="1"/>
  <c r="G85" i="1"/>
  <c r="I85" i="1" s="1"/>
  <c r="G86" i="1"/>
  <c r="I86" i="1" s="1"/>
  <c r="G87" i="1"/>
  <c r="I87" i="1" s="1"/>
  <c r="G88" i="1"/>
  <c r="I88" i="1" s="1"/>
  <c r="G89" i="1"/>
  <c r="I89" i="1" s="1"/>
  <c r="G96" i="1"/>
  <c r="G98" i="1"/>
  <c r="I98" i="1" s="1"/>
  <c r="G99" i="1"/>
  <c r="I99" i="1" s="1"/>
  <c r="G100" i="1"/>
  <c r="I100" i="1" s="1"/>
  <c r="G101" i="1"/>
  <c r="I101" i="1" s="1"/>
  <c r="G102" i="1"/>
  <c r="I102" i="1" s="1"/>
  <c r="G3" i="1"/>
  <c r="I3" i="1" s="1"/>
  <c r="G4" i="1"/>
  <c r="I4" i="1" s="1"/>
  <c r="G5" i="1"/>
  <c r="I5" i="1" s="1"/>
  <c r="G6" i="1"/>
  <c r="G7" i="1"/>
  <c r="G8" i="1"/>
  <c r="G9" i="1"/>
  <c r="I9" i="1" s="1"/>
  <c r="G10" i="1"/>
  <c r="I10" i="1" s="1"/>
  <c r="G11" i="1"/>
  <c r="I11" i="1" s="1"/>
  <c r="G12" i="1"/>
  <c r="I12" i="1" s="1"/>
  <c r="G13" i="1"/>
  <c r="I13" i="1" s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I26" i="1" s="1"/>
  <c r="G27" i="1"/>
  <c r="I27" i="1" s="1"/>
  <c r="G28" i="1"/>
  <c r="G29" i="1"/>
  <c r="I29" i="1" s="1"/>
  <c r="G30" i="1"/>
  <c r="I30" i="1" s="1"/>
  <c r="G31" i="1"/>
  <c r="I31" i="1" s="1"/>
  <c r="G32" i="1"/>
  <c r="G33" i="1"/>
  <c r="G34" i="1"/>
  <c r="G35" i="1"/>
  <c r="G36" i="1"/>
  <c r="G37" i="1"/>
  <c r="G38" i="1"/>
  <c r="G39" i="1"/>
  <c r="G40" i="1"/>
  <c r="G41" i="1"/>
  <c r="I41" i="1" s="1"/>
  <c r="G42" i="1"/>
  <c r="I42" i="1" s="1"/>
  <c r="G43" i="1"/>
  <c r="I43" i="1" s="1"/>
  <c r="G44" i="1"/>
  <c r="I44" i="1" s="1"/>
  <c r="G45" i="1"/>
  <c r="I45" i="1" s="1"/>
  <c r="G46" i="1"/>
  <c r="I46" i="1" s="1"/>
  <c r="G47" i="1"/>
  <c r="I47" i="1" s="1"/>
  <c r="G48" i="1"/>
  <c r="G49" i="1"/>
  <c r="G50" i="1"/>
  <c r="G51" i="1"/>
  <c r="G52" i="1"/>
  <c r="G53" i="1"/>
  <c r="G54" i="1"/>
  <c r="G55" i="1"/>
  <c r="G56" i="1"/>
  <c r="G57" i="1"/>
  <c r="I57" i="1" s="1"/>
  <c r="G58" i="1"/>
  <c r="I58" i="1" s="1"/>
  <c r="G59" i="1"/>
  <c r="G60" i="1"/>
  <c r="I60" i="1" s="1"/>
  <c r="G61" i="1"/>
  <c r="I61" i="1" s="1"/>
  <c r="G62" i="1"/>
  <c r="G63" i="1"/>
  <c r="G64" i="1"/>
  <c r="G65" i="1"/>
  <c r="I65" i="1" s="1"/>
  <c r="G66" i="1"/>
  <c r="G67" i="1"/>
  <c r="G68" i="1"/>
  <c r="G69" i="1"/>
  <c r="G70" i="1"/>
  <c r="G71" i="1"/>
  <c r="G72" i="1"/>
  <c r="G73" i="1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" i="7"/>
  <c r="I74" i="1" l="1"/>
  <c r="I50" i="1"/>
  <c r="I49" i="1"/>
  <c r="I48" i="1"/>
  <c r="I34" i="1"/>
  <c r="I33" i="1"/>
  <c r="I32" i="1"/>
  <c r="I18" i="1"/>
  <c r="I66" i="1"/>
  <c r="I17" i="1"/>
  <c r="I16" i="1"/>
  <c r="I64" i="1"/>
  <c r="I15" i="1"/>
  <c r="I63" i="1"/>
  <c r="I62" i="1"/>
  <c r="I14" i="1"/>
  <c r="I28" i="1"/>
  <c r="I59" i="1"/>
  <c r="I73" i="1"/>
  <c r="I25" i="1"/>
  <c r="I72" i="1"/>
  <c r="I56" i="1"/>
  <c r="I40" i="1"/>
  <c r="I24" i="1"/>
  <c r="I8" i="1"/>
  <c r="I71" i="1"/>
  <c r="I55" i="1"/>
  <c r="I39" i="1"/>
  <c r="I23" i="1"/>
  <c r="I7" i="1"/>
  <c r="I70" i="1"/>
  <c r="I54" i="1"/>
  <c r="I38" i="1"/>
  <c r="I22" i="1"/>
  <c r="I6" i="1"/>
  <c r="I69" i="1"/>
  <c r="I53" i="1"/>
  <c r="I37" i="1"/>
  <c r="I21" i="1"/>
  <c r="I68" i="1"/>
  <c r="I52" i="1"/>
  <c r="I36" i="1"/>
  <c r="I20" i="1"/>
  <c r="I67" i="1"/>
  <c r="I51" i="1"/>
  <c r="I35" i="1"/>
  <c r="I19" i="1"/>
  <c r="I104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<sst xmlns="http://schemas.openxmlformats.org/spreadsheetml/2006/main" count="2088" uniqueCount="643">
  <si>
    <t>Nome do Ativo</t>
  </si>
  <si>
    <t>Tipo de Dispositivo</t>
  </si>
  <si>
    <t>Fabricante</t>
  </si>
  <si>
    <t>Modelo</t>
  </si>
  <si>
    <t>Número de Série</t>
  </si>
  <si>
    <t>Data de Aquisição</t>
  </si>
  <si>
    <t>Valor de Aquisição</t>
  </si>
  <si>
    <t>Localização Física</t>
  </si>
  <si>
    <t>Processador</t>
  </si>
  <si>
    <t>Memória RAM</t>
  </si>
  <si>
    <t>Armazenamento</t>
  </si>
  <si>
    <t>Sistema Operacional</t>
  </si>
  <si>
    <t>Configuração de Rede (IP)</t>
  </si>
  <si>
    <t>Política de Backup</t>
  </si>
  <si>
    <t>Usuário Responsável</t>
  </si>
  <si>
    <t>Status Atual</t>
  </si>
  <si>
    <t>Tempo de uso</t>
  </si>
  <si>
    <t>Esta em Garantia</t>
  </si>
  <si>
    <t>Sistema Operacional Licenciado?</t>
  </si>
  <si>
    <t>Pacote Office Licenciado?</t>
  </si>
  <si>
    <t>Pacote Office</t>
  </si>
  <si>
    <t>Antivírus</t>
  </si>
  <si>
    <t>Nome do Sistema</t>
  </si>
  <si>
    <t>Tipo de Sistema</t>
  </si>
  <si>
    <t>Versão</t>
  </si>
  <si>
    <t>Número de Usuários Ativos</t>
  </si>
  <si>
    <t>Plataforma (Web, Desktop, Mobile)</t>
  </si>
  <si>
    <t>Sistema Operacional Compatível</t>
  </si>
  <si>
    <t>Banco de Dados Utilizado</t>
  </si>
  <si>
    <t>Linguagem de Programação</t>
  </si>
  <si>
    <t>Suporte Técnico (Contato, SLA)</t>
  </si>
  <si>
    <t>Status Atual (Ativo, Em Desenvolvimento, Desativado)</t>
  </si>
  <si>
    <t>Conformidade com Normas (LGPD, ISO, GDPR)</t>
  </si>
  <si>
    <t>Segurança (Criptografia, Autenticação, Logs)</t>
  </si>
  <si>
    <t>Ambiente de Hospedagem (Local, Nuvem, Servidor)</t>
  </si>
  <si>
    <t>Documentação Disponível</t>
  </si>
  <si>
    <t>Plano de Continuidade e Recuperação</t>
  </si>
  <si>
    <t>Fabricante/ Desenvolvedor</t>
  </si>
  <si>
    <t>Data de Aquisição/ Implementação</t>
  </si>
  <si>
    <t>Tipo Licenciamento</t>
  </si>
  <si>
    <t>Licenciado?</t>
  </si>
  <si>
    <t>Custo de Aquisição</t>
  </si>
  <si>
    <t>Integrações com Outros Sistemas?</t>
  </si>
  <si>
    <t>Custo Manutenção</t>
  </si>
  <si>
    <t>Tempo de Uso</t>
  </si>
  <si>
    <t>Placa de rede</t>
  </si>
  <si>
    <t>Função</t>
  </si>
  <si>
    <t>Projeto</t>
  </si>
  <si>
    <t>Objetivo</t>
  </si>
  <si>
    <t>Data inicio</t>
  </si>
  <si>
    <t>Data Fim</t>
  </si>
  <si>
    <t>Criticidade 0 - 5</t>
  </si>
  <si>
    <t>Questor</t>
  </si>
  <si>
    <t>Jettax</t>
  </si>
  <si>
    <t>Ottimizza</t>
  </si>
  <si>
    <t>Upcloud</t>
  </si>
  <si>
    <t>Econet</t>
  </si>
  <si>
    <t>Iob</t>
  </si>
  <si>
    <t>Notebook</t>
  </si>
  <si>
    <t>Acer</t>
  </si>
  <si>
    <t>Não</t>
  </si>
  <si>
    <t>Sim</t>
  </si>
  <si>
    <t>Setor TI</t>
  </si>
  <si>
    <t>AMD Ryzen 7 5800H</t>
  </si>
  <si>
    <t>Windowns 10 Pro</t>
  </si>
  <si>
    <t>Computador</t>
  </si>
  <si>
    <t>Samsung</t>
  </si>
  <si>
    <t>Setor IRPF</t>
  </si>
  <si>
    <t>Setor RH</t>
  </si>
  <si>
    <t>Setor ADM</t>
  </si>
  <si>
    <t>PC-001</t>
  </si>
  <si>
    <t>Viviane Santos</t>
  </si>
  <si>
    <t>Vinicius Lima</t>
  </si>
  <si>
    <t>Aline Vaz</t>
  </si>
  <si>
    <t>Guilherme Perna</t>
  </si>
  <si>
    <t>José Santana</t>
  </si>
  <si>
    <t>Leonardo Manzini</t>
  </si>
  <si>
    <t>Natalia Milan</t>
  </si>
  <si>
    <t>PC-002</t>
  </si>
  <si>
    <t>PC-003</t>
  </si>
  <si>
    <t>PC-004</t>
  </si>
  <si>
    <t>PC-005</t>
  </si>
  <si>
    <t>PC-006</t>
  </si>
  <si>
    <t>PC-007</t>
  </si>
  <si>
    <t>Windowns 11 Pro</t>
  </si>
  <si>
    <t>Windows Defender</t>
  </si>
  <si>
    <t>Genival Silva</t>
  </si>
  <si>
    <t>Luzia Santana</t>
  </si>
  <si>
    <t>Denise Brito</t>
  </si>
  <si>
    <t>Pamela Menis</t>
  </si>
  <si>
    <t>Fabrina Ricci</t>
  </si>
  <si>
    <t>Amanda Gonçalves</t>
  </si>
  <si>
    <t>Ariane Fernandes</t>
  </si>
  <si>
    <t>Taisa Souza</t>
  </si>
  <si>
    <t>Guilherme Borsatto</t>
  </si>
  <si>
    <t>PC-008</t>
  </si>
  <si>
    <t>PC-009</t>
  </si>
  <si>
    <t>PC-010</t>
  </si>
  <si>
    <t>PC-011</t>
  </si>
  <si>
    <t>PC-012</t>
  </si>
  <si>
    <t>PC-013</t>
  </si>
  <si>
    <t>PC-014</t>
  </si>
  <si>
    <t>PC-015</t>
  </si>
  <si>
    <t>PC-016</t>
  </si>
  <si>
    <t>Dell</t>
  </si>
  <si>
    <t>Vostro 15 3510</t>
  </si>
  <si>
    <t>Intel Core I5-101035G1</t>
  </si>
  <si>
    <t>O.E.M</t>
  </si>
  <si>
    <t>Intel Core I5-4590</t>
  </si>
  <si>
    <t>Nitro AN517-52</t>
  </si>
  <si>
    <t>Intel Core I5-10300H</t>
  </si>
  <si>
    <t>Intel Core I7-10750H</t>
  </si>
  <si>
    <t>Vostro 3525</t>
  </si>
  <si>
    <t>AMD Ryzen 5 5500U</t>
  </si>
  <si>
    <t>Gigabyte</t>
  </si>
  <si>
    <t>Intel Pentium G2020</t>
  </si>
  <si>
    <t>OptiPlex 3080</t>
  </si>
  <si>
    <t>Intel Core I5-10400</t>
  </si>
  <si>
    <t>550XTJ/550XCR</t>
  </si>
  <si>
    <t>Intel Core I7-10510U</t>
  </si>
  <si>
    <t>Setor Financeiro</t>
  </si>
  <si>
    <t>Intel Pentium G645</t>
  </si>
  <si>
    <t>Inspiron 3542</t>
  </si>
  <si>
    <t>Intel Core I3-4005U</t>
  </si>
  <si>
    <t>Intel Pentium G3220</t>
  </si>
  <si>
    <t>Pcware</t>
  </si>
  <si>
    <t>IPMH81G1</t>
  </si>
  <si>
    <t>Recepção</t>
  </si>
  <si>
    <t>Intel Core I3-10100</t>
  </si>
  <si>
    <t>Aspire E1-571</t>
  </si>
  <si>
    <t>Intel Core I3-2328M</t>
  </si>
  <si>
    <t xml:space="preserve">H410M H </t>
  </si>
  <si>
    <t>10.1.0.70 (Fixo)</t>
  </si>
  <si>
    <t>10.1.0.229 (Fixo)</t>
  </si>
  <si>
    <t>Nitro AN515-55</t>
  </si>
  <si>
    <t>Nitro AN515-5</t>
  </si>
  <si>
    <t>PC-017</t>
  </si>
  <si>
    <t>10.1.0.69 (Fixo)</t>
  </si>
  <si>
    <t>10.1.0.36 (Fixo)</t>
  </si>
  <si>
    <t>Killer E2600 Gigabit Ethernet Controller</t>
  </si>
  <si>
    <t>Setor Fiscal</t>
  </si>
  <si>
    <t>10.1.0.213 (Fixo)</t>
  </si>
  <si>
    <t>Jessica</t>
  </si>
  <si>
    <t>Realtek PCIe GbE Family Controller</t>
  </si>
  <si>
    <t>PC-018</t>
  </si>
  <si>
    <t>PC-019</t>
  </si>
  <si>
    <t>HP</t>
  </si>
  <si>
    <t>HP EliteDesk 800 G3</t>
  </si>
  <si>
    <t>Intel Core I5-7500</t>
  </si>
  <si>
    <t>Intel(R) Ethernet Connection (5) I219-LM</t>
  </si>
  <si>
    <t>Branca</t>
  </si>
  <si>
    <t>PC-020</t>
  </si>
  <si>
    <t>Vostro 3710</t>
  </si>
  <si>
    <t>Intel Core I5-12400</t>
  </si>
  <si>
    <t>10.1.0.41 (Fixo)</t>
  </si>
  <si>
    <t>10.1.0.66 (Fixo)</t>
  </si>
  <si>
    <t>Susana</t>
  </si>
  <si>
    <t>PC-021</t>
  </si>
  <si>
    <t>Intel Core I3-12100</t>
  </si>
  <si>
    <t>10.1.0.26 (Fixo)</t>
  </si>
  <si>
    <t>Carol Feitosa</t>
  </si>
  <si>
    <t>PC-022</t>
  </si>
  <si>
    <t>Gilson</t>
  </si>
  <si>
    <t>PC-023</t>
  </si>
  <si>
    <t>H410M H V3</t>
  </si>
  <si>
    <t>Intel Core I5-10400F</t>
  </si>
  <si>
    <t xml:space="preserve"> Intel(R) Ethernet Connection (14) I219-V</t>
  </si>
  <si>
    <t>Maiara</t>
  </si>
  <si>
    <t>PC-024</t>
  </si>
  <si>
    <t>Mancer</t>
  </si>
  <si>
    <t>MCR-A520M-DXV4</t>
  </si>
  <si>
    <t>AMD Ryzen 5 5600GT</t>
  </si>
  <si>
    <t>10.1.0.87 (Fixo)</t>
  </si>
  <si>
    <t>Dani</t>
  </si>
  <si>
    <t>PC-025</t>
  </si>
  <si>
    <t>Bruna</t>
  </si>
  <si>
    <t>PC-026</t>
  </si>
  <si>
    <t>Intel Core I3-4130</t>
  </si>
  <si>
    <t>Realtek PCIe FE Family Controller</t>
  </si>
  <si>
    <t>10.1.0.62 (Fixo)</t>
  </si>
  <si>
    <t>Ana Luiza</t>
  </si>
  <si>
    <t>PC-027</t>
  </si>
  <si>
    <t>10.1.0.202 (Fixo)</t>
  </si>
  <si>
    <t>Alessandra</t>
  </si>
  <si>
    <t>PC-028</t>
  </si>
  <si>
    <t>Vostro 3681</t>
  </si>
  <si>
    <t>10.1.0.83 (Fixo)</t>
  </si>
  <si>
    <t>janaina Satiko</t>
  </si>
  <si>
    <t>PC-029</t>
  </si>
  <si>
    <t>Asus</t>
  </si>
  <si>
    <t>All Series</t>
  </si>
  <si>
    <t>10.1.0.27 (Fixo)</t>
  </si>
  <si>
    <t>Nataly</t>
  </si>
  <si>
    <t>PC-030</t>
  </si>
  <si>
    <t>Nitro AN517-54</t>
  </si>
  <si>
    <t>Intel Core I3-4170</t>
  </si>
  <si>
    <t>Intel Core I5-11400H</t>
  </si>
  <si>
    <t>Silvio</t>
  </si>
  <si>
    <t>PC-031</t>
  </si>
  <si>
    <t>H81M-C/BR</t>
  </si>
  <si>
    <t>Intel Pentium G3250</t>
  </si>
  <si>
    <t>10.1.0.74 (Fixo)</t>
  </si>
  <si>
    <t>Deiriane</t>
  </si>
  <si>
    <t>PC-032</t>
  </si>
  <si>
    <t>10.1.0.46 (Fixo)</t>
  </si>
  <si>
    <t>PC-033</t>
  </si>
  <si>
    <t>10.1.0.77 (Fixo)</t>
  </si>
  <si>
    <t>Claudia</t>
  </si>
  <si>
    <t>PC-034</t>
  </si>
  <si>
    <t>10.1.0.236 (Fixo)</t>
  </si>
  <si>
    <t>Emerson</t>
  </si>
  <si>
    <t>VS</t>
  </si>
  <si>
    <t>VS-H61H2</t>
  </si>
  <si>
    <t>Setor DP</t>
  </si>
  <si>
    <t>Intel Pentium G620</t>
  </si>
  <si>
    <t>Plus 2019</t>
  </si>
  <si>
    <t>Francisco</t>
  </si>
  <si>
    <t>Intel(R) Wireless-AC 9260 160MHz</t>
  </si>
  <si>
    <t>Plus 2024</t>
  </si>
  <si>
    <t>Naiara</t>
  </si>
  <si>
    <t>OptiPlex 3020M</t>
  </si>
  <si>
    <t>Intel Core I3-4160T</t>
  </si>
  <si>
    <t>Leonardo</t>
  </si>
  <si>
    <t>Intel Pentium G2030</t>
  </si>
  <si>
    <t>Mondo 2016</t>
  </si>
  <si>
    <t>Ana Claudia</t>
  </si>
  <si>
    <t>Marcelo</t>
  </si>
  <si>
    <t>IPMH61P1</t>
  </si>
  <si>
    <t>Atheros AR8161 PCI-E Gigabit Ethernet Controller</t>
  </si>
  <si>
    <t>Janaina Magdalena</t>
  </si>
  <si>
    <t>Igor Mello</t>
  </si>
  <si>
    <t>Gabriela Rodrigues</t>
  </si>
  <si>
    <t>Intel Core I5-2400</t>
  </si>
  <si>
    <t>Daiane Kelli</t>
  </si>
  <si>
    <t>WireGuard Tunnel</t>
  </si>
  <si>
    <t>Luciana Pimenta</t>
  </si>
  <si>
    <t>Kerolaine</t>
  </si>
  <si>
    <t>Nitro AN517-51</t>
  </si>
  <si>
    <t>Intel Core I5-9300H</t>
  </si>
  <si>
    <t>Intel(R) Wi-Fi 6 AX200</t>
  </si>
  <si>
    <t>Simone Joiozo</t>
  </si>
  <si>
    <t>System manufacturer</t>
  </si>
  <si>
    <t>System Product Name</t>
  </si>
  <si>
    <t>Ana Kessia</t>
  </si>
  <si>
    <t>Daniela Vicenzotti</t>
  </si>
  <si>
    <t>PC-035</t>
  </si>
  <si>
    <t>PC-036</t>
  </si>
  <si>
    <t>PC-037</t>
  </si>
  <si>
    <t>PC-038</t>
  </si>
  <si>
    <t>PC-039</t>
  </si>
  <si>
    <t>PC-040</t>
  </si>
  <si>
    <t>PC-041</t>
  </si>
  <si>
    <t>PC-042</t>
  </si>
  <si>
    <t>PC-043</t>
  </si>
  <si>
    <t>PC-044</t>
  </si>
  <si>
    <t>PC-045</t>
  </si>
  <si>
    <t>PC-046</t>
  </si>
  <si>
    <t>PC-047</t>
  </si>
  <si>
    <t>PC-048</t>
  </si>
  <si>
    <t>Pegatron</t>
  </si>
  <si>
    <t>MANCER</t>
  </si>
  <si>
    <t>Setor Contábil</t>
  </si>
  <si>
    <t>Windows 10 Pro</t>
  </si>
  <si>
    <t>João Eli Chicotti</t>
  </si>
  <si>
    <t>MSI</t>
  </si>
  <si>
    <t>MS-7817</t>
  </si>
  <si>
    <t>Intel Core i3-4150</t>
  </si>
  <si>
    <t>Windows 11 Pro</t>
  </si>
  <si>
    <t>Eliomar Carvalho</t>
  </si>
  <si>
    <t>LENOVO</t>
  </si>
  <si>
    <t>10MUA0DDBP</t>
  </si>
  <si>
    <t>Intel Core i5-7400T</t>
  </si>
  <si>
    <t>Intel(R) Ethernet Connection (2) I219-LM</t>
  </si>
  <si>
    <t>Eliane Cristina Medeiros</t>
  </si>
  <si>
    <t>Carolina de Santi</t>
  </si>
  <si>
    <t>BIOSTAR Group</t>
  </si>
  <si>
    <t>B550MH 3.0</t>
  </si>
  <si>
    <t>AMD Ryzen 3 3200G</t>
  </si>
  <si>
    <t>Edilaine Luisa Duarte Amarante</t>
  </si>
  <si>
    <t>Julia Barbosa da Silva</t>
  </si>
  <si>
    <t>INTEL</t>
  </si>
  <si>
    <t>B75</t>
  </si>
  <si>
    <t>Sandra Regina Matavelli</t>
  </si>
  <si>
    <t>11T4S9H600</t>
  </si>
  <si>
    <t>Intel i5-12400T</t>
  </si>
  <si>
    <t>Intel(R) Ethernet Connection (17) I219-LM</t>
  </si>
  <si>
    <t>Standard 2021</t>
  </si>
  <si>
    <t>Tais Fernanda de Melo</t>
  </si>
  <si>
    <t>Intel i7-7700</t>
  </si>
  <si>
    <t>Gabriel de Deus Gelen</t>
  </si>
  <si>
    <t>Dell Inc.</t>
  </si>
  <si>
    <t>Inspiron 15 3511</t>
  </si>
  <si>
    <t>Intel Core i3-1115G4</t>
  </si>
  <si>
    <t>Corechip SR9900 USB2.0 to Fast Ethernet Adapter</t>
  </si>
  <si>
    <t>Carolaine da Silva Santos</t>
  </si>
  <si>
    <t>ASUS</t>
  </si>
  <si>
    <t>Intel Pentium G3260</t>
  </si>
  <si>
    <t>Ingridi Gabrieli dos Santos</t>
  </si>
  <si>
    <t>PC-049</t>
  </si>
  <si>
    <t>PC-050</t>
  </si>
  <si>
    <t>PC-051</t>
  </si>
  <si>
    <t>PC-052</t>
  </si>
  <si>
    <t>PC-053</t>
  </si>
  <si>
    <t>PC-054</t>
  </si>
  <si>
    <t>PC-055</t>
  </si>
  <si>
    <t>PC-056</t>
  </si>
  <si>
    <t>PC-057</t>
  </si>
  <si>
    <t>PC-058</t>
  </si>
  <si>
    <t>PC-059</t>
  </si>
  <si>
    <t>10.1.0.220 (Fixo)</t>
  </si>
  <si>
    <t>10.1.0.52 (Fixo)</t>
  </si>
  <si>
    <t>10.1.0.44 (Fixo)</t>
  </si>
  <si>
    <t>10.1.0.19 (Fixo)</t>
  </si>
  <si>
    <t>10.1.0.215 (Fixo)</t>
  </si>
  <si>
    <t>10.1.0.217 (Fixo)</t>
  </si>
  <si>
    <t>10.1.0.231 (Fixo)</t>
  </si>
  <si>
    <t>10.1.0.219 (Fixo)</t>
  </si>
  <si>
    <t>10.1.0.33 (Fixo)</t>
  </si>
  <si>
    <t>10.1.0.23 (Fixo)</t>
  </si>
  <si>
    <t>Nitro AN515-57</t>
  </si>
  <si>
    <t>Intel i5-11400H</t>
  </si>
  <si>
    <t>10.1.0.127 (Fixo)</t>
  </si>
  <si>
    <t>Luzia Araujo de Sousa Ribeiro</t>
  </si>
  <si>
    <t>To be filled by O.E.M.</t>
  </si>
  <si>
    <t>Intel Core i3-2120</t>
  </si>
  <si>
    <t>10.1.0.216 (Fixo)</t>
  </si>
  <si>
    <t>Jessica Magdalena Maize</t>
  </si>
  <si>
    <t>PC-060</t>
  </si>
  <si>
    <t>PC-061</t>
  </si>
  <si>
    <t>Servidor</t>
  </si>
  <si>
    <t>Plus 2016</t>
  </si>
  <si>
    <t>Plus 2021</t>
  </si>
  <si>
    <t>Apps para Grandes Empresas</t>
  </si>
  <si>
    <t>Leticia</t>
  </si>
  <si>
    <t>10.1.0.55 (Fixo)</t>
  </si>
  <si>
    <t>Marcia Wagna</t>
  </si>
  <si>
    <t>SERV-001</t>
  </si>
  <si>
    <t>ProLiant DL360 Gen9</t>
  </si>
  <si>
    <t>2x Intel Xeon CPU E5-2698 V4</t>
  </si>
  <si>
    <t>Broadcom NetXtreme Gigabit Ethernet</t>
  </si>
  <si>
    <t>Microsoft Windows Server 2016 Standard</t>
  </si>
  <si>
    <t>10.1.0.11 (Fixo)</t>
  </si>
  <si>
    <t>SERV-002</t>
  </si>
  <si>
    <t>PowerEdge T610</t>
  </si>
  <si>
    <t>Intel Xeon CPU E5620</t>
  </si>
  <si>
    <t>QLogic BCM5709C Gigabit Ethernet (NDIS VBD Client)</t>
  </si>
  <si>
    <t>Microsoft Windows Server 2019 Standard</t>
  </si>
  <si>
    <t>10.1.0.1 (Fixo)</t>
  </si>
  <si>
    <t>SERV-003</t>
  </si>
  <si>
    <t>10.1.0.2 (Fixo)</t>
  </si>
  <si>
    <t>HYPER-001</t>
  </si>
  <si>
    <t>Virtualizado</t>
  </si>
  <si>
    <t>Microsoft</t>
  </si>
  <si>
    <t>Virtual Machine</t>
  </si>
  <si>
    <t>Microsoft Hyper-V Network Adapter</t>
  </si>
  <si>
    <t>HYPER-002</t>
  </si>
  <si>
    <t>HYPER-003</t>
  </si>
  <si>
    <t>HYPER-004</t>
  </si>
  <si>
    <t>10.1.0.5(Fixo)</t>
  </si>
  <si>
    <t>HYPER-005</t>
  </si>
  <si>
    <t>10.1.0.3 (Fixo)</t>
  </si>
  <si>
    <t>Canva</t>
  </si>
  <si>
    <t>G-Click</t>
  </si>
  <si>
    <t>Zen 2.0</t>
  </si>
  <si>
    <t>ZapContabil</t>
  </si>
  <si>
    <t>Spark</t>
  </si>
  <si>
    <t>PowerBI</t>
  </si>
  <si>
    <t>Office</t>
  </si>
  <si>
    <t>Safe</t>
  </si>
  <si>
    <t>AnyDesk</t>
  </si>
  <si>
    <t>Pabx em Nuvem</t>
  </si>
  <si>
    <t>Migração E-mail Microsoft</t>
  </si>
  <si>
    <t>10.1.0.13 (Fixo)</t>
  </si>
  <si>
    <t>10.1.0.233 (Fixo)</t>
  </si>
  <si>
    <t>10.1.0.78 (Fixo)</t>
  </si>
  <si>
    <t>10.1.0.238 (Fixo)</t>
  </si>
  <si>
    <t>10.1.0.232 (Fixo)</t>
  </si>
  <si>
    <t>10.1.0.239 (Fixo)</t>
  </si>
  <si>
    <t>10.1.0.73 (Fixo)</t>
  </si>
  <si>
    <t>10.1.0.71 (Fixo)</t>
  </si>
  <si>
    <t>10.1.0.10 (Fixo)</t>
  </si>
  <si>
    <t>10.1.0.172 (DHCP)</t>
  </si>
  <si>
    <t>10.1.0.156 (DHCP)</t>
  </si>
  <si>
    <t>10.1.0.198 (DHCP)</t>
  </si>
  <si>
    <t>10.1.0.165 (DHCP)</t>
  </si>
  <si>
    <t>10.1.0.136 (DHCP)</t>
  </si>
  <si>
    <t>10.1.0.107 (DHCP)</t>
  </si>
  <si>
    <t>10.1.0.158 (DHCP)</t>
  </si>
  <si>
    <t>192.168.0.108 (DHCP)</t>
  </si>
  <si>
    <t>10.1.0.137 (DHCP)</t>
  </si>
  <si>
    <t>10.1.0.177 (DHCP)</t>
  </si>
  <si>
    <t>10.1.0.139 (DHCP)</t>
  </si>
  <si>
    <t>10.1.0.102 (DHCP)</t>
  </si>
  <si>
    <t>10.1.0.144 (DHCP)</t>
  </si>
  <si>
    <t>10.1.0.111 (DHCP)</t>
  </si>
  <si>
    <t>10.1.0.195 (DHCP)</t>
  </si>
  <si>
    <t>10.1.0.199 (DHCP)</t>
  </si>
  <si>
    <t>10.1.0.133 (DHCP)</t>
  </si>
  <si>
    <t>10.1.0.174 (DHCP)</t>
  </si>
  <si>
    <t>10.1.0.96 (Fixo)</t>
  </si>
  <si>
    <t>HUB-001</t>
  </si>
  <si>
    <t>HUB-002</t>
  </si>
  <si>
    <t>HUB-003</t>
  </si>
  <si>
    <t>HUB-004</t>
  </si>
  <si>
    <t>HUB-005</t>
  </si>
  <si>
    <t>HUB-006</t>
  </si>
  <si>
    <t>HUB-007</t>
  </si>
  <si>
    <t>HUB-008</t>
  </si>
  <si>
    <t>HUB-009</t>
  </si>
  <si>
    <t>HUB-010</t>
  </si>
  <si>
    <t>HUB-011</t>
  </si>
  <si>
    <t>HUB-012</t>
  </si>
  <si>
    <t>HUB-013</t>
  </si>
  <si>
    <t>HUB-014</t>
  </si>
  <si>
    <t>Switch Hub</t>
  </si>
  <si>
    <t>Tp-Link</t>
  </si>
  <si>
    <t>TL-SG108e 8 Portas</t>
  </si>
  <si>
    <t>LS-1008G 8 Portas</t>
  </si>
  <si>
    <t>Licenças Windowns Estações</t>
  </si>
  <si>
    <t>Migração Questor Zen 2.0</t>
  </si>
  <si>
    <t>XML Cupom Zen</t>
  </si>
  <si>
    <t>Unicont Tomados</t>
  </si>
  <si>
    <t>Jettax Prestados</t>
  </si>
  <si>
    <t>Power BI (Controladoria)</t>
  </si>
  <si>
    <t>Mercusys</t>
  </si>
  <si>
    <t>MS-108G 8 Portas</t>
  </si>
  <si>
    <t>MAPIA</t>
  </si>
  <si>
    <t>LS-1005 G 5 Portas</t>
  </si>
  <si>
    <t>Setor Comercial</t>
  </si>
  <si>
    <t>Setor Contabil</t>
  </si>
  <si>
    <t>ROUNTER-001</t>
  </si>
  <si>
    <t>ROUNTER-002</t>
  </si>
  <si>
    <t>Roteador</t>
  </si>
  <si>
    <t>TL-WR840N 4 Portas</t>
  </si>
  <si>
    <t>Setor Pastrello</t>
  </si>
  <si>
    <t>AC1200 Archer C6</t>
  </si>
  <si>
    <t>SERV-004</t>
  </si>
  <si>
    <t>SERV-005</t>
  </si>
  <si>
    <t>SERV-006</t>
  </si>
  <si>
    <t>Hoje</t>
  </si>
  <si>
    <t>Intel Core i5-10400</t>
  </si>
  <si>
    <t>10.1.0.117 (DHCP)</t>
  </si>
  <si>
    <t>Qualcomm Atheros AR5B125 Wireless Network Adapter</t>
  </si>
  <si>
    <t>10.1.0.114 (DHCP)</t>
  </si>
  <si>
    <t>Intel(R) Wireless-AC 9462</t>
  </si>
  <si>
    <t>Intel(R) Wi-Fi 6 AX201 160MHz</t>
  </si>
  <si>
    <t>10.1.0.234 (Fixo)</t>
  </si>
  <si>
    <t>Realtek(R) PCI(e) Ethernet Controller</t>
  </si>
  <si>
    <t>Impressora</t>
  </si>
  <si>
    <t>Kyocera</t>
  </si>
  <si>
    <t>ECOSYS M2040dn</t>
  </si>
  <si>
    <t>10.1.0.167</t>
  </si>
  <si>
    <t>10.1.0.247</t>
  </si>
  <si>
    <t>10.1.0.67</t>
  </si>
  <si>
    <t>HP Laser MFP 432</t>
  </si>
  <si>
    <t>10.1.0.57</t>
  </si>
  <si>
    <t>Setor IRPF - Aline</t>
  </si>
  <si>
    <t>Setor IRPF - Pamela</t>
  </si>
  <si>
    <t>10.1.0.224</t>
  </si>
  <si>
    <t>10.1.0.164</t>
  </si>
  <si>
    <t>LaserJet Pro MFP 4103fdw</t>
  </si>
  <si>
    <t>Intel Core I3-6100</t>
  </si>
  <si>
    <t>Epson</t>
  </si>
  <si>
    <t>L3110</t>
  </si>
  <si>
    <t>Diretoria</t>
  </si>
  <si>
    <t>Cabo</t>
  </si>
  <si>
    <t>L365</t>
  </si>
  <si>
    <t>Linux</t>
  </si>
  <si>
    <t>10.1.0.251 (Fixo)</t>
  </si>
  <si>
    <t>PFSense</t>
  </si>
  <si>
    <t>Quantidade</t>
  </si>
  <si>
    <t>Ano de Fabricação</t>
  </si>
  <si>
    <t>Data atual</t>
  </si>
  <si>
    <t>PC-062</t>
  </si>
  <si>
    <t>Velocidade da Placa de Rede</t>
  </si>
  <si>
    <t>Omie</t>
  </si>
  <si>
    <t>O principal sistema utilizado pela CONTEC, é um ERP de gestão empresarial integrada, com módulos interligados nas áreas fiscal, gerenciamento de empresas, departamento pessoal, contábil e protocolos. Este sistema é utilizado de forma centralizada por toda a organização, sendo a plataforma fundamental para o andamento dos processos internos e para a prestação de serviços aos clientes da CONTEC. Trata-se de uma solução abrangente que integra e automatiza as operações contábeis, fiscais e trabalhistas, garantindo eficiência, conformidade legal e padronização em todos os setores da empresa.</t>
  </si>
  <si>
    <t>Software Questor LTDA</t>
  </si>
  <si>
    <t>O sistema realiza integração direta com o layout padrão do Questor, permitindo a importação automatizada de dados a partir de planilhas de clientes contendo informações como registro de pontos, horas extras e benefícios de farmácia. O processo inicia com a verificação e validação dos arquivos do cliente, onde o sistema analisa a estrutura dos dados e converte para o formato compatível com o Questor, gerando um arquivo padronizado para importação direta na plataforma. Após a integração, o sistema possibilita a realização de auditorias completas sobre os dados transferidos, incluindo análises comparativas de diferenças salariais, conferência de cargos, totais de eventos calculados e descontos aplicados. Essa funcionalidade garante a precisão das informações migradas e oferece ferramentas para verificação de inconsistências, assegurando a qualidade dos dados contábeis e trabalhistas no ambiente Questor.</t>
  </si>
  <si>
    <t>SS Parisi Sofware</t>
  </si>
  <si>
    <t>Jettax é um sistema de busca automatica de arquivos XML de documentos fiscais (como NF-e, NFC-e, CT-e) diretamente da Sefaz (Secretaria da Fazenda) ou de outros sistemas conectados, além da possibilidade de exportar esse XML para que seja importados para dentro do modulo fiscal da Questor.</t>
  </si>
  <si>
    <t>Econet Sistemas</t>
  </si>
  <si>
    <t>IOB é uma plataforma especializada em consultoria e informação nas áreas contábil que oferece aos contadores e empresas ferramentas para auditoria e conformidade tributária, garantindo a veracidade das informações e prevenindo irregularidades. Atua como um sistema integrado que consolida diversas informações legais em um único ambiente, proporcionando acesso centralizado a legislações, atualizações fiscais e jurisprudências. Além das funcionalidades técnicas, presta consultoria especializada no âmbito fiscal como exemplo duvidas em produtos, ncm, icms.</t>
  </si>
  <si>
    <t>Econet é uma plataforma especializada em consultoria e informação nas áreas contábil que oferece aos contadores e empresas ferramentas para auditoria e conformidade tributária, garantindo a veracidade das informações e prevenindo irregularidades. Atua como um sistema integrado que consolida diversas informações legais em um único ambiente, proporcionando acesso centralizado a legislações, atualizações fiscais e jurisprudências. Além das funcionalidades técnicas, presta consultoria especializada no âmbito fiscal como exemplo duvidas em produtos, ncm, icms.</t>
  </si>
  <si>
    <t>Thomson Reuters</t>
  </si>
  <si>
    <t>O Roundcube é um cliente de e-mail web-based integrado ao cPanel, projetado para gerenciar contas de e-mail associadas a domínios hospedados no servidor. Sua principal função é permitir o acesso e a organização de mensagens de forma intuitiva, sem necessidade de configurar softwares externos (como Outlook ou Thunderbird).</t>
  </si>
  <si>
    <t>Roundcube Webmail Inc</t>
  </si>
  <si>
    <t>O Canva é uma plataforma de design gráfico online que permite aos usuários criar uma variedade de materiais visuais de forma fácil e intuitiva.</t>
  </si>
  <si>
    <t>Canva Pty Ltd</t>
  </si>
  <si>
    <t>G-Click é uma plataforma de gestão e controles internos focada no cumprimento de obrigações funciona como uma agenda integrada para a execução dessas obrigações. Ela atende principalmente aos setores fiscal, pessoal e contábil, com o objetivo de otimizar os processos, evitar entregas foras do prazo e otimizar o envio de documentos importantes (como guias e relatórios) aos clientes.</t>
  </si>
  <si>
    <t>Richard Werneck e Cristiane Andrade</t>
  </si>
  <si>
    <t>Gerenciador de WhatsApp para Empresas, não oficial da Meta, é utilizado por toda a equipe da Contec. Sua implementação permite a criação de usuários distintos vinculados ao número da Contec, possibilitando que cada colaborador atue de forma individual no atendimento aos clientes ou no envio de mensagens, garantindo maior organização e eficiência na comunicação.</t>
  </si>
  <si>
    <t>Comhub – Hub de Comunicação Integrada Ltda</t>
  </si>
  <si>
    <t>O Spark é um sistema de mensagens instantâneas utilizado para comunicação interna, funcionando como um mensageiro.</t>
  </si>
  <si>
    <t>O Power BI é uma ferramenta de análise de dados e business intelligence desenvolvida pela Microsoft. Sua principal função é transformar dados brutos em informações visuais e compreensíveis por meio de relatórios e dashboards interativos.</t>
  </si>
  <si>
    <t>Microsoft Office é um conjunto de aplicativos de produtividade que inclui Word, Excel, PowerPoint, Outlook e outros. Ele permite criar, editar e compartilhar documentos, planilhas e apresentações de forma eficiente. O pacote facilita a comunicação, organização e colaboração, seja no trabalho ou na escola.</t>
  </si>
  <si>
    <t>Gerenciador de senhas gratuito e de código aberto que armazena suas credenciais de forma segura usando criptografia forte. Ele permite criar um banco de dados protegido por senha mestre, facilitando o gerenciamento de múltiplas senhas</t>
  </si>
  <si>
    <t>AnyDesk é um software de acesso remoto que permite controlar computadores e dispositivos de forma segura pela internet.</t>
  </si>
  <si>
    <t>3.0.2</t>
  </si>
  <si>
    <t>Matei Zaharia</t>
  </si>
  <si>
    <t>2.142.928.0</t>
  </si>
  <si>
    <t>24.14.1</t>
  </si>
  <si>
    <t>9.0.6</t>
  </si>
  <si>
    <t>2025.15.2287</t>
  </si>
  <si>
    <t>Integrado com o Questor, é uma plataforma de controle de obrigações como certificados e Alvaras, alem disso possui o buscador de xml junto ao envio de guias as clientes</t>
  </si>
  <si>
    <t>ProLabore Auto</t>
  </si>
  <si>
    <t>Sobit</t>
  </si>
  <si>
    <t>2.25.0</t>
  </si>
  <si>
    <t>25.3.0.4</t>
  </si>
  <si>
    <t>Web</t>
  </si>
  <si>
    <t>Roundcube (SiteContabil</t>
  </si>
  <si>
    <t>Folha Sserta (SS Parisi)</t>
  </si>
  <si>
    <t>Conferir</t>
  </si>
  <si>
    <t xml:space="preserve">Auto </t>
  </si>
  <si>
    <t>Desktop</t>
  </si>
  <si>
    <t>Open Source</t>
  </si>
  <si>
    <t>Saas</t>
  </si>
  <si>
    <t>Subscription</t>
  </si>
  <si>
    <t>Trial</t>
  </si>
  <si>
    <t>Híbrido</t>
  </si>
  <si>
    <t>110.0.58</t>
  </si>
  <si>
    <t>Auto</t>
  </si>
  <si>
    <t>1.01.47</t>
  </si>
  <si>
    <t>Ativo</t>
  </si>
  <si>
    <t>Local</t>
  </si>
  <si>
    <t>Logs</t>
  </si>
  <si>
    <t>Nuvem</t>
  </si>
  <si>
    <t>Local/Nuvem</t>
  </si>
  <si>
    <t>Safeincloud SAS</t>
  </si>
  <si>
    <t>AnyDesk Software GmbH</t>
  </si>
  <si>
    <t>Departamentos</t>
  </si>
  <si>
    <t>Todos</t>
  </si>
  <si>
    <t>Folha</t>
  </si>
  <si>
    <t>Fiscal</t>
  </si>
  <si>
    <t>Contabil</t>
  </si>
  <si>
    <t>TI</t>
  </si>
  <si>
    <t>Sim/Não</t>
  </si>
  <si>
    <t>Financeiro</t>
  </si>
  <si>
    <t>IRPF</t>
  </si>
  <si>
    <t>Plataforma completa para controle financeiro, gestão de estoque, emissão de notas fiscais e um sistema de CRM</t>
  </si>
  <si>
    <t>Utilizado para a importação de lançamentos contábeis por meio de planilhas e extratos, o módulo realiza a leitura e validação dos dados, aplicando regras de 'de/para' com base nas descrições informadas. Em seguida, vincula automaticamente os lançamentos às contas contábeis correspondentes. O layout é compatível com o sistema Questor, possibilitando a importação direta para a plataforma</t>
  </si>
  <si>
    <t>Realiza o Backup do Banco do nosso ERP Questor alem de subir para nuvem</t>
  </si>
  <si>
    <t>Utilizado diretamente para o controle das declarações de Imposto de Renda, o sistema monitora automaticamente a pasta do IRPF, realizando verificações horárias e apresentando, em tempo real, os status e eventuais processos de malha fina.</t>
  </si>
  <si>
    <t>ERP</t>
  </si>
  <si>
    <t>Automação</t>
  </si>
  <si>
    <t>Acesso Remoto</t>
  </si>
  <si>
    <t>Criação Visual</t>
  </si>
  <si>
    <t>Plataforma de Conteúdo Jurídico-Tributário</t>
  </si>
  <si>
    <t>Sistema de Análise e Relatórios</t>
  </si>
  <si>
    <t>Pacote de Aplicativos para Escritório</t>
  </si>
  <si>
    <t>Gerenciador de Senhas</t>
  </si>
  <si>
    <t>Gestão de folha de pagamento</t>
  </si>
  <si>
    <t>Gestão Fiscal (Notas)</t>
  </si>
  <si>
    <t>Infrastructure as a Service</t>
  </si>
  <si>
    <t>Iaas</t>
  </si>
  <si>
    <t>Plataforma de Comunicação Empresarial</t>
  </si>
  <si>
    <t>Webmail Open Source</t>
  </si>
  <si>
    <t>Omiexperience S/A</t>
  </si>
  <si>
    <t>SOBIT Soluções em Tecnologia</t>
  </si>
  <si>
    <t>Vela Software</t>
  </si>
  <si>
    <t>Ottimizza Automação Contábil</t>
  </si>
  <si>
    <t>GT2A</t>
  </si>
  <si>
    <t>Firebird</t>
  </si>
  <si>
    <t xml:space="preserve">Servidor Dell </t>
  </si>
  <si>
    <t>Servidor Questor</t>
  </si>
  <si>
    <t>Dominio</t>
  </si>
  <si>
    <t>10.1.0.108(Fixo)</t>
  </si>
  <si>
    <t>Servidor CSLMELLO</t>
  </si>
  <si>
    <t>Servidor G</t>
  </si>
  <si>
    <t>SWITCH-001</t>
  </si>
  <si>
    <t xml:space="preserve">Switch </t>
  </si>
  <si>
    <t>Cisco</t>
  </si>
  <si>
    <t>CBS250-48T</t>
  </si>
  <si>
    <t>Tempo de uso por equipamento</t>
  </si>
  <si>
    <t>Coorporativo / Apoio</t>
  </si>
  <si>
    <t>Antivirus</t>
  </si>
  <si>
    <t>Sistemas por departamento</t>
  </si>
  <si>
    <t>Graficos</t>
  </si>
  <si>
    <t>Rateio de uso departamento usuarios x sistema</t>
  </si>
  <si>
    <t>Velocidade dos cabos de rede</t>
  </si>
  <si>
    <t>EFD ICMS/IPI</t>
  </si>
  <si>
    <t>Ecac</t>
  </si>
  <si>
    <t>FGTS Digital</t>
  </si>
  <si>
    <t>DET</t>
  </si>
  <si>
    <t>Esocial</t>
  </si>
  <si>
    <t>EFD Contribuição</t>
  </si>
  <si>
    <t>ECD</t>
  </si>
  <si>
    <t>ECF</t>
  </si>
  <si>
    <t>GIA</t>
  </si>
  <si>
    <t>Assinador SERPRO</t>
  </si>
  <si>
    <t>Windowns Defender</t>
  </si>
  <si>
    <t>PAC</t>
  </si>
  <si>
    <t>PIA</t>
  </si>
  <si>
    <t>PAS</t>
  </si>
  <si>
    <t>Google One</t>
  </si>
  <si>
    <t>Sintegra</t>
  </si>
  <si>
    <t>Switch Vlan</t>
  </si>
  <si>
    <t>Verificar Vlan do switch</t>
  </si>
  <si>
    <t>Orçamento de TI</t>
  </si>
  <si>
    <t>Serviço / Produto</t>
  </si>
  <si>
    <t xml:space="preserve">Fabricante </t>
  </si>
  <si>
    <t>Valor Pago</t>
  </si>
  <si>
    <t>Tip de licença</t>
  </si>
  <si>
    <t>Janeiro</t>
  </si>
  <si>
    <t>Previsto</t>
  </si>
  <si>
    <t>Realizado</t>
  </si>
  <si>
    <t>Feveiro</t>
  </si>
  <si>
    <t>Março</t>
  </si>
  <si>
    <t>Abril</t>
  </si>
  <si>
    <t>Rateio</t>
  </si>
  <si>
    <t>Departamento pessoal 50%
Fiscal 40%</t>
  </si>
  <si>
    <t>Mapa Rede</t>
  </si>
  <si>
    <t>O que</t>
  </si>
  <si>
    <t>Quem</t>
  </si>
  <si>
    <t>Zé</t>
  </si>
  <si>
    <t>Vini</t>
  </si>
  <si>
    <t>Vinicius</t>
  </si>
  <si>
    <t>Remover Vlan</t>
  </si>
  <si>
    <t>Switch Reserva</t>
  </si>
  <si>
    <t>Backup Switch</t>
  </si>
  <si>
    <t>Link 2 Internet</t>
  </si>
  <si>
    <t>Servidor Reserva</t>
  </si>
  <si>
    <t>Remoção Pfsense</t>
  </si>
  <si>
    <t>Ter um suporte</t>
  </si>
  <si>
    <t>x</t>
  </si>
  <si>
    <t>Ubiquiti UniFi</t>
  </si>
  <si>
    <t>AC Lite UAP-AC-LITE</t>
  </si>
  <si>
    <t>Terreo</t>
  </si>
  <si>
    <t>UNIFI - 001</t>
  </si>
  <si>
    <t>UNIFI - 002</t>
  </si>
  <si>
    <t>Primeiro Andar</t>
  </si>
  <si>
    <t>UNIFI - 003</t>
  </si>
  <si>
    <t>Comercial</t>
  </si>
  <si>
    <t>IMPRESSORA - 001</t>
  </si>
  <si>
    <t>IMPRESSORA - 002</t>
  </si>
  <si>
    <t>IMPRESSORA - 003</t>
  </si>
  <si>
    <t>IMPRESSORA - 004</t>
  </si>
  <si>
    <t>IMPRESSORA - 005</t>
  </si>
  <si>
    <t>IMPRESSORA - 006</t>
  </si>
  <si>
    <t>IMPRESSORA - 007</t>
  </si>
  <si>
    <t>IMPRESSORA - 008</t>
  </si>
  <si>
    <t>IMPRESSORA - 009</t>
  </si>
  <si>
    <t>IMPRESSORA - 010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</si>
</sst>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[$R$-416]\ * #,##0.00_-;\-[$R$-416]\ * #,##0.00_-;_-[$R$-416]\ * &quot;-&quot;??_-;_-@_-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rgb="FF434343"/>
      <name val="Roboto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9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0" fillId="0" borderId="1" xfId="0" quotePrefix="1" applyBorder="1"/>
    <xf numFmtId="0" fontId="0" fillId="0" borderId="2" xfId="0" applyBorder="1"/>
    <xf numFmtId="0" fontId="0" fillId="0" borderId="3" xfId="0" applyBorder="1"/>
    <xf numFmtId="14" fontId="0" fillId="0" borderId="1" xfId="0" applyNumberFormat="1" applyBorder="1"/>
    <xf numFmtId="11" fontId="0" fillId="0" borderId="4" xfId="0" applyNumberFormat="1" applyBorder="1"/>
    <xf numFmtId="0" fontId="0" fillId="0" borderId="5" xfId="0" applyBorder="1"/>
    <xf numFmtId="0" fontId="0" fillId="0" borderId="4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1" xfId="0" applyFont="1" applyBorder="1"/>
    <xf numFmtId="0" fontId="5" fillId="3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5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43" fontId="0" fillId="0" borderId="0" xfId="1" applyFont="1"/>
    <xf numFmtId="43" fontId="0" fillId="0" borderId="0" xfId="0" applyNumberFormat="1"/>
    <xf numFmtId="14" fontId="1" fillId="2" borderId="1" xfId="0" applyNumberFormat="1" applyFont="1" applyFill="1" applyBorder="1" applyAlignment="1">
      <alignment horizontal="center"/>
    </xf>
    <xf numFmtId="14" fontId="0" fillId="0" borderId="0" xfId="0" applyNumberFormat="1"/>
    <xf numFmtId="164" fontId="1" fillId="2" borderId="1" xfId="1" applyNumberFormat="1" applyFont="1" applyFill="1" applyBorder="1" applyAlignment="1">
      <alignment horizontal="center"/>
    </xf>
    <xf numFmtId="164" fontId="0" fillId="0" borderId="1" xfId="1" applyNumberFormat="1" applyFont="1" applyBorder="1"/>
    <xf numFmtId="164" fontId="0" fillId="0" borderId="0" xfId="1" applyNumberFormat="1" applyFont="1"/>
    <xf numFmtId="165" fontId="0" fillId="0" borderId="1" xfId="0" applyNumberFormat="1" applyBorder="1"/>
    <xf numFmtId="0" fontId="6" fillId="0" borderId="1" xfId="0" applyFont="1" applyBorder="1"/>
    <xf numFmtId="164" fontId="0" fillId="0" borderId="0" xfId="0" applyNumberFormat="1"/>
    <xf numFmtId="0" fontId="6" fillId="0" borderId="2" xfId="0" applyFont="1" applyBorder="1"/>
    <xf numFmtId="0" fontId="0" fillId="0" borderId="1" xfId="0" applyBorder="1" applyAlignment="1">
      <alignment wrapText="1"/>
    </xf>
    <xf numFmtId="43" fontId="0" fillId="0" borderId="1" xfId="1" applyFont="1" applyBorder="1"/>
    <xf numFmtId="0" fontId="1" fillId="0" borderId="1" xfId="0" applyFont="1" applyBorder="1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Planilha1!$J$1</c:f>
              <c:strCache>
                <c:ptCount val="1"/>
                <c:pt idx="0">
                  <c:v>Tempo de uso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BDE-40D5-BD8A-A59965D0372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BDE-40D5-BD8A-A59965D0372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BDE-40D5-BD8A-A59965D0372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BDE-40D5-BD8A-A59965D0372D}"/>
              </c:ext>
            </c:extLst>
          </c:dPt>
          <c:val>
            <c:numRef>
              <c:f>Planilha1!$J$2:$J$5</c:f>
              <c:numCache>
                <c:formatCode>General</c:formatCode>
                <c:ptCount val="4"/>
                <c:pt idx="0">
                  <c:v>15</c:v>
                </c:pt>
                <c:pt idx="1">
                  <c:v>14</c:v>
                </c:pt>
                <c:pt idx="2">
                  <c:v>13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71-4F30-8A4E-49E72D8663E1}"/>
            </c:ext>
          </c:extLst>
        </c:ser>
        <c:ser>
          <c:idx val="1"/>
          <c:order val="1"/>
          <c:tx>
            <c:strRef>
              <c:f>Planilha1!$K$1</c:f>
              <c:strCache>
                <c:ptCount val="1"/>
                <c:pt idx="0">
                  <c:v>Quantidade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BDE-40D5-BD8A-A59965D0372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BDE-40D5-BD8A-A59965D0372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BDE-40D5-BD8A-A59965D0372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BDE-40D5-BD8A-A59965D0372D}"/>
              </c:ext>
            </c:extLst>
          </c:dPt>
          <c:val>
            <c:numRef>
              <c:f>Planilha1!$K$2:$K$5</c:f>
              <c:numCache>
                <c:formatCode>General</c:formatCode>
                <c:ptCount val="4"/>
                <c:pt idx="0">
                  <c:v>9</c:v>
                </c:pt>
                <c:pt idx="1">
                  <c:v>5</c:v>
                </c:pt>
                <c:pt idx="2">
                  <c:v>1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71-4F30-8A4E-49E72D8663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91440</xdr:colOff>
      <xdr:row>2</xdr:row>
      <xdr:rowOff>53340</xdr:rowOff>
    </xdr:from>
    <xdr:to>
      <xdr:col>8</xdr:col>
      <xdr:colOff>556260</xdr:colOff>
      <xdr:row>4</xdr:row>
      <xdr:rowOff>152400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8EC47782-693D-CD41-C8AB-9A9739771B62}"/>
            </a:ext>
          </a:extLst>
        </xdr:cNvPr>
        <xdr:cNvSpPr/>
      </xdr:nvSpPr>
      <xdr:spPr>
        <a:xfrm>
          <a:off x="4358640" y="419100"/>
          <a:ext cx="1074420" cy="4648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Switch TI</a:t>
          </a:r>
        </a:p>
      </xdr:txBody>
    </xdr:sp>
    <xdr:clientData/>
  </xdr:twoCellAnchor>
  <xdr:twoCellAnchor>
    <xdr:from>
      <xdr:col>11</xdr:col>
      <xdr:colOff>556260</xdr:colOff>
      <xdr:row>8</xdr:row>
      <xdr:rowOff>68580</xdr:rowOff>
    </xdr:from>
    <xdr:to>
      <xdr:col>14</xdr:col>
      <xdr:colOff>76200</xdr:colOff>
      <xdr:row>12</xdr:row>
      <xdr:rowOff>68580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E7E51C2A-CD08-432A-A982-FDD2D33CEC70}"/>
            </a:ext>
          </a:extLst>
        </xdr:cNvPr>
        <xdr:cNvSpPr/>
      </xdr:nvSpPr>
      <xdr:spPr>
        <a:xfrm>
          <a:off x="7261860" y="1531620"/>
          <a:ext cx="1348740" cy="7315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HUB Fiscal</a:t>
          </a:r>
        </a:p>
        <a:p>
          <a:pPr algn="ctr"/>
          <a:r>
            <a:rPr lang="pt-BR" sz="1100"/>
            <a:t>8 portas</a:t>
          </a:r>
        </a:p>
        <a:p>
          <a:pPr algn="ctr"/>
          <a:r>
            <a:rPr lang="pt-BR" sz="1100"/>
            <a:t>1 GB</a:t>
          </a:r>
        </a:p>
      </xdr:txBody>
    </xdr:sp>
    <xdr:clientData/>
  </xdr:twoCellAnchor>
  <xdr:twoCellAnchor>
    <xdr:from>
      <xdr:col>8</xdr:col>
      <xdr:colOff>556260</xdr:colOff>
      <xdr:row>3</xdr:row>
      <xdr:rowOff>102870</xdr:rowOff>
    </xdr:from>
    <xdr:to>
      <xdr:col>11</xdr:col>
      <xdr:colOff>556260</xdr:colOff>
      <xdr:row>10</xdr:row>
      <xdr:rowOff>68580</xdr:rowOff>
    </xdr:to>
    <xdr:cxnSp macro="">
      <xdr:nvCxnSpPr>
        <xdr:cNvPr id="5" name="Conector de Seta Reta 4">
          <a:extLst>
            <a:ext uri="{FF2B5EF4-FFF2-40B4-BE49-F238E27FC236}">
              <a16:creationId xmlns:a16="http://schemas.microsoft.com/office/drawing/2014/main" id="{9544CA40-4C70-1AD4-5DC8-FB797057BA69}"/>
            </a:ext>
          </a:extLst>
        </xdr:cNvPr>
        <xdr:cNvCxnSpPr>
          <a:stCxn id="2" idx="3"/>
          <a:endCxn id="3" idx="1"/>
        </xdr:cNvCxnSpPr>
      </xdr:nvCxnSpPr>
      <xdr:spPr>
        <a:xfrm>
          <a:off x="5433060" y="651510"/>
          <a:ext cx="1828800" cy="124587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236220</xdr:colOff>
      <xdr:row>5</xdr:row>
      <xdr:rowOff>91440</xdr:rowOff>
    </xdr:from>
    <xdr:to>
      <xdr:col>11</xdr:col>
      <xdr:colOff>259080</xdr:colOff>
      <xdr:row>6</xdr:row>
      <xdr:rowOff>137160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ECDFF0C3-D80B-E2C8-3F57-D1F2E4C9B171}"/>
            </a:ext>
          </a:extLst>
        </xdr:cNvPr>
        <xdr:cNvSpPr txBox="1"/>
      </xdr:nvSpPr>
      <xdr:spPr>
        <a:xfrm>
          <a:off x="6332220" y="1005840"/>
          <a:ext cx="632460" cy="228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Cabo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266700</xdr:colOff>
      <xdr:row>6</xdr:row>
      <xdr:rowOff>133350</xdr:rowOff>
    </xdr:from>
    <xdr:to>
      <xdr:col>16</xdr:col>
      <xdr:colOff>358140</xdr:colOff>
      <xdr:row>21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D7258F0-7AA0-EEFF-FD8A-33259BAF57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4"/>
  <sheetViews>
    <sheetView tabSelected="1" topLeftCell="A72" zoomScaleNormal="100" workbookViewId="0">
      <selection activeCell="D88" sqref="D88"/>
    </sheetView>
  </sheetViews>
  <sheetFormatPr defaultRowHeight="15" x14ac:dyDescent="0.25"/>
  <cols>
    <col min="1" max="1" width="21.42578125" bestFit="1" customWidth="1"/>
    <col min="2" max="2" width="18.5703125" bestFit="1" customWidth="1"/>
    <col min="3" max="3" width="19.85546875" bestFit="1" customWidth="1"/>
    <col min="4" max="4" width="23.5703125" bestFit="1" customWidth="1"/>
    <col min="5" max="5" width="16.28515625" bestFit="1" customWidth="1"/>
    <col min="6" max="6" width="17.28515625" style="25" bestFit="1" customWidth="1"/>
    <col min="7" max="7" width="10.42578125" style="25" bestFit="1" customWidth="1"/>
    <col min="8" max="8" width="17.7109375" style="28" bestFit="1" customWidth="1"/>
    <col min="9" max="9" width="13.7109375" bestFit="1" customWidth="1"/>
    <col min="10" max="10" width="16.28515625" bestFit="1" customWidth="1"/>
    <col min="11" max="11" width="18.28515625" bestFit="1" customWidth="1"/>
    <col min="12" max="12" width="25.5703125" bestFit="1" customWidth="1"/>
    <col min="13" max="13" width="13" bestFit="1" customWidth="1"/>
    <col min="14" max="14" width="15.28515625" bestFit="1" customWidth="1"/>
    <col min="15" max="15" width="48.7109375" bestFit="1" customWidth="1"/>
    <col min="16" max="16" width="25.28515625" customWidth="1"/>
    <col min="17" max="17" width="20.5703125" customWidth="1"/>
    <col min="18" max="18" width="36.28515625" bestFit="1" customWidth="1"/>
    <col min="19" max="19" width="11.85546875" bestFit="1" customWidth="1"/>
    <col min="20" max="20" width="27.5703125" bestFit="1" customWidth="1"/>
    <col min="21" max="21" width="11.7109375" bestFit="1" customWidth="1"/>
    <col min="22" max="22" width="24.85546875" bestFit="1" customWidth="1"/>
    <col min="23" max="23" width="17.5703125" bestFit="1" customWidth="1"/>
    <col min="24" max="24" width="29.140625" bestFit="1" customWidth="1"/>
    <col min="25" max="25" width="11.7109375" bestFit="1" customWidth="1"/>
    <col min="26" max="26" width="17.7109375" bestFit="1" customWidth="1"/>
    <col min="27" max="27" width="13.42578125" bestFit="1" customWidth="1"/>
    <col min="28" max="28" width="13.7109375" bestFit="1" customWidth="1"/>
  </cols>
  <sheetData>
    <row r="1" spans="1:28" s="6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24" t="s">
        <v>5</v>
      </c>
      <c r="G1" s="24" t="s">
        <v>439</v>
      </c>
      <c r="H1" s="26" t="s">
        <v>6</v>
      </c>
      <c r="I1" s="7" t="s">
        <v>16</v>
      </c>
      <c r="J1" s="7" t="s">
        <v>17</v>
      </c>
      <c r="K1" s="7" t="s">
        <v>7</v>
      </c>
      <c r="L1" s="7" t="s">
        <v>8</v>
      </c>
      <c r="M1" s="7" t="s">
        <v>9</v>
      </c>
      <c r="N1" s="7" t="s">
        <v>10</v>
      </c>
      <c r="O1" s="4" t="s">
        <v>45</v>
      </c>
      <c r="P1" s="4" t="s">
        <v>474</v>
      </c>
      <c r="Q1" s="4" t="s">
        <v>596</v>
      </c>
      <c r="R1" s="7" t="s">
        <v>11</v>
      </c>
      <c r="S1" s="4" t="s">
        <v>18</v>
      </c>
      <c r="T1" s="4" t="s">
        <v>20</v>
      </c>
      <c r="U1" s="4" t="s">
        <v>19</v>
      </c>
      <c r="V1" s="3" t="s">
        <v>12</v>
      </c>
      <c r="W1" s="3" t="s">
        <v>13</v>
      </c>
      <c r="X1" s="7" t="s">
        <v>14</v>
      </c>
      <c r="Y1" s="7" t="s">
        <v>15</v>
      </c>
      <c r="Z1" s="7" t="s">
        <v>21</v>
      </c>
      <c r="AA1" s="4" t="s">
        <v>36</v>
      </c>
      <c r="AB1" s="4" t="s">
        <v>51</v>
      </c>
    </row>
    <row r="2" spans="1:28" x14ac:dyDescent="0.25">
      <c r="A2" s="1" t="s">
        <v>70</v>
      </c>
      <c r="B2" s="1" t="s">
        <v>58</v>
      </c>
      <c r="C2" s="1" t="s">
        <v>59</v>
      </c>
      <c r="D2" s="1" t="s">
        <v>135</v>
      </c>
      <c r="E2" s="12"/>
      <c r="F2" s="11">
        <v>44287</v>
      </c>
      <c r="G2" s="11">
        <f t="shared" ref="G2:G66" ca="1" si="0">TODAY()</f>
        <v>45786</v>
      </c>
      <c r="H2" s="27"/>
      <c r="I2" s="27">
        <f t="shared" ref="I2:I33" ca="1" si="1">(G2-F2)/365</f>
        <v>4.1068493150684935</v>
      </c>
      <c r="J2" s="1" t="s">
        <v>60</v>
      </c>
      <c r="K2" s="1" t="s">
        <v>62</v>
      </c>
      <c r="L2" s="1" t="s">
        <v>63</v>
      </c>
      <c r="M2" s="1">
        <v>16</v>
      </c>
      <c r="N2" s="1">
        <v>240</v>
      </c>
      <c r="O2" s="1" t="s">
        <v>139</v>
      </c>
      <c r="P2" s="1" cm="1">
        <f t="array" ref="P2">IF(SUMPRODUCT(--ISNUMBER(FIND({"GbE";"Gigabit";"I219"}, O2)))&gt;0, 1000, 100)</f>
        <v>1000</v>
      </c>
      <c r="Q2" s="1"/>
      <c r="R2" s="1" t="s">
        <v>64</v>
      </c>
      <c r="S2" s="1" t="s">
        <v>60</v>
      </c>
      <c r="T2" s="1" t="s">
        <v>218</v>
      </c>
      <c r="U2" s="1" t="s">
        <v>60</v>
      </c>
      <c r="V2" s="1" t="s">
        <v>381</v>
      </c>
      <c r="W2" s="1" t="s">
        <v>60</v>
      </c>
      <c r="X2" s="1" t="s">
        <v>75</v>
      </c>
      <c r="Y2" s="1" t="s">
        <v>523</v>
      </c>
      <c r="Z2" s="1" t="s">
        <v>85</v>
      </c>
      <c r="AA2" s="1"/>
      <c r="AB2" s="1"/>
    </row>
    <row r="3" spans="1:28" x14ac:dyDescent="0.25">
      <c r="A3" s="1" t="s">
        <v>78</v>
      </c>
      <c r="B3" s="1" t="s">
        <v>58</v>
      </c>
      <c r="C3" s="1" t="s">
        <v>104</v>
      </c>
      <c r="D3" s="1" t="s">
        <v>112</v>
      </c>
      <c r="E3" s="13"/>
      <c r="F3" s="11">
        <v>44208</v>
      </c>
      <c r="G3" s="11">
        <f t="shared" ca="1" si="0"/>
        <v>45786</v>
      </c>
      <c r="H3" s="27"/>
      <c r="I3" s="27">
        <f t="shared" ca="1" si="1"/>
        <v>4.3232876712328769</v>
      </c>
      <c r="J3" s="1" t="s">
        <v>60</v>
      </c>
      <c r="K3" s="1" t="s">
        <v>67</v>
      </c>
      <c r="L3" s="1" t="s">
        <v>113</v>
      </c>
      <c r="M3" s="1">
        <v>8</v>
      </c>
      <c r="N3" s="1">
        <v>240</v>
      </c>
      <c r="O3" s="1" t="s">
        <v>143</v>
      </c>
      <c r="P3" s="1" cm="1">
        <f t="array" ref="P3">IF(SUMPRODUCT(--ISNUMBER(FIND({"GbE";"Gigabit";"I219"}, O3)))&gt;0, 1000, 100)</f>
        <v>1000</v>
      </c>
      <c r="Q3" s="1"/>
      <c r="R3" s="1" t="s">
        <v>64</v>
      </c>
      <c r="S3" s="1" t="s">
        <v>60</v>
      </c>
      <c r="T3" s="1" t="s">
        <v>218</v>
      </c>
      <c r="U3" s="1" t="s">
        <v>60</v>
      </c>
      <c r="V3" s="1" t="s">
        <v>382</v>
      </c>
      <c r="W3" s="1" t="s">
        <v>60</v>
      </c>
      <c r="X3" s="1" t="s">
        <v>73</v>
      </c>
      <c r="Y3" s="1" t="s">
        <v>523</v>
      </c>
      <c r="Z3" s="1" t="s">
        <v>85</v>
      </c>
      <c r="AA3" s="1"/>
      <c r="AB3" s="1"/>
    </row>
    <row r="4" spans="1:28" x14ac:dyDescent="0.25">
      <c r="A4" s="1" t="s">
        <v>79</v>
      </c>
      <c r="B4" s="1" t="s">
        <v>65</v>
      </c>
      <c r="C4" s="1" t="s">
        <v>114</v>
      </c>
      <c r="D4" s="1" t="s">
        <v>107</v>
      </c>
      <c r="E4" s="13"/>
      <c r="F4" s="11">
        <v>41295</v>
      </c>
      <c r="G4" s="11">
        <f t="shared" ca="1" si="0"/>
        <v>45786</v>
      </c>
      <c r="H4" s="27"/>
      <c r="I4" s="27">
        <f t="shared" ca="1" si="1"/>
        <v>12.304109589041095</v>
      </c>
      <c r="J4" s="1" t="s">
        <v>60</v>
      </c>
      <c r="K4" s="1" t="s">
        <v>68</v>
      </c>
      <c r="L4" s="1" t="s">
        <v>115</v>
      </c>
      <c r="M4" s="1">
        <v>8</v>
      </c>
      <c r="N4" s="1">
        <v>120</v>
      </c>
      <c r="O4" s="1" t="s">
        <v>143</v>
      </c>
      <c r="P4" s="1" cm="1">
        <f t="array" ref="P4">IF(SUMPRODUCT(--ISNUMBER(FIND({"GbE";"Gigabit";"I219"}, O4)))&gt;0, 1000, 100)</f>
        <v>1000</v>
      </c>
      <c r="Q4" s="1"/>
      <c r="R4" s="1" t="s">
        <v>64</v>
      </c>
      <c r="S4" s="1" t="s">
        <v>60</v>
      </c>
      <c r="T4" s="1" t="s">
        <v>215</v>
      </c>
      <c r="U4" s="1" t="s">
        <v>60</v>
      </c>
      <c r="V4" s="1" t="s">
        <v>383</v>
      </c>
      <c r="W4" s="1" t="s">
        <v>60</v>
      </c>
      <c r="X4" s="1" t="s">
        <v>74</v>
      </c>
      <c r="Y4" s="1" t="s">
        <v>523</v>
      </c>
      <c r="Z4" s="1" t="s">
        <v>85</v>
      </c>
      <c r="AA4" s="1"/>
      <c r="AB4" s="1"/>
    </row>
    <row r="5" spans="1:28" x14ac:dyDescent="0.25">
      <c r="A5" s="1" t="s">
        <v>80</v>
      </c>
      <c r="B5" s="1" t="s">
        <v>58</v>
      </c>
      <c r="C5" s="1" t="s">
        <v>66</v>
      </c>
      <c r="D5" s="1" t="s">
        <v>118</v>
      </c>
      <c r="E5" s="13"/>
      <c r="F5" s="11">
        <v>43698</v>
      </c>
      <c r="G5" s="11">
        <f t="shared" ca="1" si="0"/>
        <v>45786</v>
      </c>
      <c r="H5" s="27"/>
      <c r="I5" s="27">
        <f t="shared" ca="1" si="1"/>
        <v>5.720547945205479</v>
      </c>
      <c r="J5" s="1" t="s">
        <v>60</v>
      </c>
      <c r="K5" s="1" t="s">
        <v>62</v>
      </c>
      <c r="L5" s="1" t="s">
        <v>119</v>
      </c>
      <c r="M5" s="1">
        <v>8</v>
      </c>
      <c r="N5" s="1">
        <v>120</v>
      </c>
      <c r="O5" s="1" t="s">
        <v>444</v>
      </c>
      <c r="P5" s="1" cm="1">
        <f t="array" ref="P5">IF(SUMPRODUCT(--ISNUMBER(FIND({"GbE";"Gigabit";"I219"}, O5)))&gt;0, 1000, 100)</f>
        <v>100</v>
      </c>
      <c r="Q5" s="1"/>
      <c r="R5" s="1" t="s">
        <v>84</v>
      </c>
      <c r="S5" s="1" t="s">
        <v>60</v>
      </c>
      <c r="T5" s="1" t="s">
        <v>218</v>
      </c>
      <c r="U5" s="1" t="s">
        <v>60</v>
      </c>
      <c r="V5" s="1" t="s">
        <v>133</v>
      </c>
      <c r="W5" s="1" t="s">
        <v>60</v>
      </c>
      <c r="X5" s="1" t="s">
        <v>76</v>
      </c>
      <c r="Y5" s="1" t="s">
        <v>523</v>
      </c>
      <c r="Z5" s="1" t="s">
        <v>85</v>
      </c>
      <c r="AA5" s="1"/>
      <c r="AB5" s="1"/>
    </row>
    <row r="6" spans="1:28" x14ac:dyDescent="0.25">
      <c r="A6" s="1" t="s">
        <v>81</v>
      </c>
      <c r="B6" s="1" t="s">
        <v>65</v>
      </c>
      <c r="C6" s="1" t="s">
        <v>104</v>
      </c>
      <c r="D6" s="1" t="s">
        <v>116</v>
      </c>
      <c r="E6" s="13"/>
      <c r="F6" s="11">
        <v>43951</v>
      </c>
      <c r="G6" s="11">
        <f t="shared" ca="1" si="0"/>
        <v>45786</v>
      </c>
      <c r="H6" s="27"/>
      <c r="I6" s="27">
        <f t="shared" ca="1" si="1"/>
        <v>5.0273972602739727</v>
      </c>
      <c r="J6" s="1" t="s">
        <v>60</v>
      </c>
      <c r="K6" s="1" t="s">
        <v>69</v>
      </c>
      <c r="L6" s="1" t="s">
        <v>117</v>
      </c>
      <c r="M6" s="1">
        <v>8</v>
      </c>
      <c r="N6" s="1">
        <v>240</v>
      </c>
      <c r="O6" s="1" t="s">
        <v>143</v>
      </c>
      <c r="P6" s="1" cm="1">
        <f t="array" ref="P6">IF(SUMPRODUCT(--ISNUMBER(FIND({"GbE";"Gigabit";"I219"}, O6)))&gt;0, 1000, 100)</f>
        <v>1000</v>
      </c>
      <c r="Q6" s="1"/>
      <c r="R6" s="1" t="s">
        <v>84</v>
      </c>
      <c r="S6" s="1" t="s">
        <v>60</v>
      </c>
      <c r="T6" s="1" t="s">
        <v>218</v>
      </c>
      <c r="U6" s="1" t="s">
        <v>60</v>
      </c>
      <c r="V6" s="1" t="s">
        <v>399</v>
      </c>
      <c r="W6" s="1" t="s">
        <v>60</v>
      </c>
      <c r="X6" s="1" t="s">
        <v>71</v>
      </c>
      <c r="Y6" s="1" t="s">
        <v>523</v>
      </c>
      <c r="Z6" s="1" t="s">
        <v>85</v>
      </c>
      <c r="AA6" s="1"/>
      <c r="AB6" s="1"/>
    </row>
    <row r="7" spans="1:28" x14ac:dyDescent="0.25">
      <c r="A7" s="1" t="s">
        <v>82</v>
      </c>
      <c r="B7" s="1" t="s">
        <v>58</v>
      </c>
      <c r="C7" s="1" t="s">
        <v>59</v>
      </c>
      <c r="D7" s="1" t="s">
        <v>134</v>
      </c>
      <c r="E7" s="13"/>
      <c r="F7" s="11">
        <v>43923</v>
      </c>
      <c r="G7" s="11">
        <f t="shared" ca="1" si="0"/>
        <v>45786</v>
      </c>
      <c r="H7" s="27"/>
      <c r="I7" s="27">
        <f t="shared" ca="1" si="1"/>
        <v>5.1041095890410961</v>
      </c>
      <c r="J7" s="1" t="s">
        <v>60</v>
      </c>
      <c r="K7" s="1" t="s">
        <v>62</v>
      </c>
      <c r="L7" s="1" t="s">
        <v>110</v>
      </c>
      <c r="M7" s="1">
        <v>16</v>
      </c>
      <c r="N7" s="1">
        <v>540</v>
      </c>
      <c r="O7" s="1" t="s">
        <v>445</v>
      </c>
      <c r="P7" s="1" cm="1">
        <f t="array" ref="P7">IF(SUMPRODUCT(--ISNUMBER(FIND({"GbE";"Gigabit";"I219"}, O7)))&gt;0, 1000, 100)</f>
        <v>100</v>
      </c>
      <c r="Q7" s="1"/>
      <c r="R7" s="1" t="s">
        <v>84</v>
      </c>
      <c r="S7" s="1" t="s">
        <v>60</v>
      </c>
      <c r="T7" s="1" t="s">
        <v>218</v>
      </c>
      <c r="U7" s="1" t="s">
        <v>60</v>
      </c>
      <c r="V7" s="1" t="s">
        <v>132</v>
      </c>
      <c r="W7" s="1" t="s">
        <v>60</v>
      </c>
      <c r="X7" s="1" t="s">
        <v>72</v>
      </c>
      <c r="Y7" s="1" t="s">
        <v>523</v>
      </c>
      <c r="Z7" s="1" t="s">
        <v>85</v>
      </c>
      <c r="AA7" s="1"/>
      <c r="AB7" s="1"/>
    </row>
    <row r="8" spans="1:28" x14ac:dyDescent="0.25">
      <c r="A8" s="1" t="s">
        <v>83</v>
      </c>
      <c r="B8" s="1" t="s">
        <v>65</v>
      </c>
      <c r="C8" s="1" t="s">
        <v>107</v>
      </c>
      <c r="D8" s="1" t="s">
        <v>107</v>
      </c>
      <c r="E8" s="13"/>
      <c r="F8" s="11">
        <v>41760</v>
      </c>
      <c r="G8" s="11">
        <f t="shared" ca="1" si="0"/>
        <v>45786</v>
      </c>
      <c r="H8" s="27"/>
      <c r="I8" s="27">
        <f t="shared" ca="1" si="1"/>
        <v>11.03013698630137</v>
      </c>
      <c r="J8" s="1" t="s">
        <v>60</v>
      </c>
      <c r="K8" s="1" t="s">
        <v>69</v>
      </c>
      <c r="L8" s="1" t="s">
        <v>108</v>
      </c>
      <c r="M8" s="1">
        <v>16</v>
      </c>
      <c r="N8" s="1">
        <v>480</v>
      </c>
      <c r="O8" s="1" t="s">
        <v>178</v>
      </c>
      <c r="P8" s="1" cm="1">
        <f t="array" ref="P8">IF(SUMPRODUCT(--ISNUMBER(FIND({"GbE";"Gigabit";"I219"}, O8)))&gt;0, 1000, 100)</f>
        <v>100</v>
      </c>
      <c r="Q8" s="1"/>
      <c r="R8" s="1" t="s">
        <v>64</v>
      </c>
      <c r="S8" s="1" t="s">
        <v>61</v>
      </c>
      <c r="T8" s="1"/>
      <c r="U8" s="1" t="s">
        <v>61</v>
      </c>
      <c r="V8" s="1" t="s">
        <v>138</v>
      </c>
      <c r="W8" s="1" t="s">
        <v>60</v>
      </c>
      <c r="X8" s="1" t="s">
        <v>77</v>
      </c>
      <c r="Y8" s="1" t="s">
        <v>523</v>
      </c>
      <c r="Z8" s="1" t="s">
        <v>85</v>
      </c>
      <c r="AA8" s="1"/>
      <c r="AB8" s="1"/>
    </row>
    <row r="9" spans="1:28" x14ac:dyDescent="0.25">
      <c r="A9" s="1" t="s">
        <v>95</v>
      </c>
      <c r="B9" s="1" t="s">
        <v>58</v>
      </c>
      <c r="C9" s="1" t="s">
        <v>104</v>
      </c>
      <c r="D9" s="1" t="s">
        <v>105</v>
      </c>
      <c r="E9" s="13"/>
      <c r="F9" s="11">
        <v>44076</v>
      </c>
      <c r="G9" s="11">
        <f t="shared" ca="1" si="0"/>
        <v>45786</v>
      </c>
      <c r="H9" s="27"/>
      <c r="I9" s="27">
        <f t="shared" ca="1" si="1"/>
        <v>4.6849315068493151</v>
      </c>
      <c r="J9" s="1" t="s">
        <v>60</v>
      </c>
      <c r="K9" s="1" t="s">
        <v>68</v>
      </c>
      <c r="L9" s="1" t="s">
        <v>106</v>
      </c>
      <c r="M9" s="1">
        <v>8</v>
      </c>
      <c r="N9" s="1">
        <v>240</v>
      </c>
      <c r="O9" s="1" t="s">
        <v>143</v>
      </c>
      <c r="P9" s="1" cm="1">
        <f t="array" ref="P9">IF(SUMPRODUCT(--ISNUMBER(FIND({"GbE";"Gigabit";"I219"}, O9)))&gt;0, 1000, 100)</f>
        <v>1000</v>
      </c>
      <c r="Q9" s="1"/>
      <c r="R9" s="1" t="s">
        <v>84</v>
      </c>
      <c r="S9" s="1" t="s">
        <v>60</v>
      </c>
      <c r="T9" s="1" t="s">
        <v>218</v>
      </c>
      <c r="U9" s="1" t="s">
        <v>60</v>
      </c>
      <c r="V9" s="1" t="s">
        <v>446</v>
      </c>
      <c r="W9" s="1" t="s">
        <v>60</v>
      </c>
      <c r="X9" s="1" t="s">
        <v>86</v>
      </c>
      <c r="Y9" s="1" t="s">
        <v>523</v>
      </c>
      <c r="Z9" s="1" t="s">
        <v>85</v>
      </c>
      <c r="AA9" s="1"/>
      <c r="AB9" s="1"/>
    </row>
    <row r="10" spans="1:28" x14ac:dyDescent="0.25">
      <c r="A10" s="1" t="s">
        <v>96</v>
      </c>
      <c r="B10" s="1" t="s">
        <v>65</v>
      </c>
      <c r="C10" s="1" t="s">
        <v>275</v>
      </c>
      <c r="D10" s="1" t="s">
        <v>276</v>
      </c>
      <c r="E10" s="13"/>
      <c r="F10" s="11">
        <v>43653</v>
      </c>
      <c r="G10" s="11">
        <f t="shared" ca="1" si="0"/>
        <v>45786</v>
      </c>
      <c r="H10" s="27"/>
      <c r="I10" s="27">
        <f t="shared" ca="1" si="1"/>
        <v>5.8438356164383558</v>
      </c>
      <c r="J10" s="1" t="s">
        <v>60</v>
      </c>
      <c r="K10" s="1" t="s">
        <v>120</v>
      </c>
      <c r="L10" s="1" t="s">
        <v>277</v>
      </c>
      <c r="M10" s="1">
        <v>10</v>
      </c>
      <c r="N10" s="1">
        <v>120</v>
      </c>
      <c r="O10" s="1" t="s">
        <v>143</v>
      </c>
      <c r="P10" s="1" cm="1">
        <f t="array" ref="P10">IF(SUMPRODUCT(--ISNUMBER(FIND({"GbE";"Gigabit";"I219"}, O10)))&gt;0, 1000, 100)</f>
        <v>1000</v>
      </c>
      <c r="Q10" s="1"/>
      <c r="R10" s="1" t="s">
        <v>64</v>
      </c>
      <c r="S10" s="1" t="s">
        <v>60</v>
      </c>
      <c r="T10" s="1" t="s">
        <v>330</v>
      </c>
      <c r="U10" s="1" t="s">
        <v>60</v>
      </c>
      <c r="V10" s="1" t="s">
        <v>443</v>
      </c>
      <c r="W10" s="1" t="s">
        <v>60</v>
      </c>
      <c r="X10" s="1" t="s">
        <v>87</v>
      </c>
      <c r="Y10" s="1" t="s">
        <v>523</v>
      </c>
      <c r="Z10" s="1" t="s">
        <v>85</v>
      </c>
      <c r="AA10" s="1"/>
      <c r="AB10" s="1"/>
    </row>
    <row r="11" spans="1:28" x14ac:dyDescent="0.25">
      <c r="A11" s="1" t="s">
        <v>97</v>
      </c>
      <c r="B11" s="1" t="s">
        <v>65</v>
      </c>
      <c r="C11" s="1" t="s">
        <v>114</v>
      </c>
      <c r="D11" s="1" t="s">
        <v>107</v>
      </c>
      <c r="E11" s="13"/>
      <c r="F11" s="11">
        <v>41155</v>
      </c>
      <c r="G11" s="11">
        <f t="shared" ca="1" si="0"/>
        <v>45786</v>
      </c>
      <c r="H11" s="27"/>
      <c r="I11" s="27">
        <f t="shared" ca="1" si="1"/>
        <v>12.687671232876712</v>
      </c>
      <c r="J11" s="1" t="s">
        <v>60</v>
      </c>
      <c r="K11" s="1" t="s">
        <v>120</v>
      </c>
      <c r="L11" s="1" t="s">
        <v>121</v>
      </c>
      <c r="M11" s="1">
        <v>12</v>
      </c>
      <c r="N11" s="1">
        <v>448</v>
      </c>
      <c r="O11" s="1" t="s">
        <v>143</v>
      </c>
      <c r="P11" s="1" cm="1">
        <f t="array" ref="P11">IF(SUMPRODUCT(--ISNUMBER(FIND({"GbE";"Gigabit";"I219"}, O11)))&gt;0, 1000, 100)</f>
        <v>1000</v>
      </c>
      <c r="Q11" s="1"/>
      <c r="R11" s="1" t="s">
        <v>64</v>
      </c>
      <c r="S11" s="1" t="s">
        <v>60</v>
      </c>
      <c r="T11" s="1" t="s">
        <v>218</v>
      </c>
      <c r="U11" s="1" t="s">
        <v>60</v>
      </c>
      <c r="V11" s="1" t="s">
        <v>384</v>
      </c>
      <c r="W11" s="1" t="s">
        <v>60</v>
      </c>
      <c r="X11" s="1" t="s">
        <v>88</v>
      </c>
      <c r="Y11" s="1" t="s">
        <v>523</v>
      </c>
      <c r="Z11" s="1" t="s">
        <v>85</v>
      </c>
      <c r="AA11" s="1"/>
      <c r="AB11" s="1"/>
    </row>
    <row r="12" spans="1:28" x14ac:dyDescent="0.25">
      <c r="A12" s="1" t="s">
        <v>98</v>
      </c>
      <c r="B12" s="1" t="s">
        <v>58</v>
      </c>
      <c r="C12" s="1" t="s">
        <v>104</v>
      </c>
      <c r="D12" s="1" t="s">
        <v>122</v>
      </c>
      <c r="E12" s="13"/>
      <c r="F12" s="11">
        <v>41521</v>
      </c>
      <c r="G12" s="11">
        <f t="shared" ca="1" si="0"/>
        <v>45786</v>
      </c>
      <c r="H12" s="27"/>
      <c r="I12" s="27">
        <f t="shared" ca="1" si="1"/>
        <v>11.684931506849315</v>
      </c>
      <c r="J12" s="1" t="s">
        <v>60</v>
      </c>
      <c r="K12" s="1" t="s">
        <v>67</v>
      </c>
      <c r="L12" s="1" t="s">
        <v>123</v>
      </c>
      <c r="M12" s="1">
        <v>8</v>
      </c>
      <c r="N12" s="1">
        <v>120</v>
      </c>
      <c r="O12" s="1" t="s">
        <v>447</v>
      </c>
      <c r="P12" s="1" cm="1">
        <f t="array" ref="P12">IF(SUMPRODUCT(--ISNUMBER(FIND({"GbE";"Gigabit";"I219"}, O12)))&gt;0, 1000, 100)</f>
        <v>100</v>
      </c>
      <c r="Q12" s="1"/>
      <c r="R12" s="1" t="s">
        <v>84</v>
      </c>
      <c r="S12" s="1" t="s">
        <v>60</v>
      </c>
      <c r="T12" s="1" t="s">
        <v>218</v>
      </c>
      <c r="U12" s="1" t="s">
        <v>60</v>
      </c>
      <c r="V12" s="1" t="s">
        <v>385</v>
      </c>
      <c r="W12" s="1" t="s">
        <v>60</v>
      </c>
      <c r="X12" s="1" t="s">
        <v>89</v>
      </c>
      <c r="Y12" s="1" t="s">
        <v>523</v>
      </c>
      <c r="Z12" s="1" t="s">
        <v>85</v>
      </c>
      <c r="AA12" s="1"/>
      <c r="AB12" s="1"/>
    </row>
    <row r="13" spans="1:28" x14ac:dyDescent="0.25">
      <c r="A13" s="1" t="s">
        <v>99</v>
      </c>
      <c r="B13" s="1" t="s">
        <v>65</v>
      </c>
      <c r="C13" s="1" t="s">
        <v>290</v>
      </c>
      <c r="D13" s="1" t="s">
        <v>116</v>
      </c>
      <c r="E13" s="13"/>
      <c r="F13" s="11">
        <v>43951</v>
      </c>
      <c r="G13" s="11">
        <f t="shared" ca="1" si="0"/>
        <v>45786</v>
      </c>
      <c r="H13" s="27"/>
      <c r="I13" s="27">
        <f t="shared" ca="1" si="1"/>
        <v>5.0273972602739727</v>
      </c>
      <c r="J13" s="1" t="s">
        <v>60</v>
      </c>
      <c r="K13" s="1" t="s">
        <v>67</v>
      </c>
      <c r="L13" s="1" t="s">
        <v>440</v>
      </c>
      <c r="M13" s="1">
        <v>8</v>
      </c>
      <c r="N13" s="1">
        <v>448</v>
      </c>
      <c r="O13" s="1" t="s">
        <v>143</v>
      </c>
      <c r="P13" s="1" cm="1">
        <f t="array" ref="P13">IF(SUMPRODUCT(--ISNUMBER(FIND({"GbE";"Gigabit";"I219"}, O13)))&gt;0, 1000, 100)</f>
        <v>1000</v>
      </c>
      <c r="Q13" s="1"/>
      <c r="R13" s="1" t="s">
        <v>84</v>
      </c>
      <c r="S13" s="1" t="s">
        <v>60</v>
      </c>
      <c r="T13" s="1" t="s">
        <v>218</v>
      </c>
      <c r="U13" s="1" t="s">
        <v>60</v>
      </c>
      <c r="V13" s="1" t="s">
        <v>441</v>
      </c>
      <c r="W13" s="1" t="s">
        <v>60</v>
      </c>
      <c r="X13" s="1" t="s">
        <v>90</v>
      </c>
      <c r="Y13" s="1" t="s">
        <v>523</v>
      </c>
      <c r="Z13" s="1" t="s">
        <v>85</v>
      </c>
      <c r="AA13" s="1"/>
      <c r="AB13" s="1"/>
    </row>
    <row r="14" spans="1:28" x14ac:dyDescent="0.25">
      <c r="A14" s="1" t="s">
        <v>100</v>
      </c>
      <c r="B14" s="1" t="s">
        <v>65</v>
      </c>
      <c r="C14" s="1" t="s">
        <v>125</v>
      </c>
      <c r="D14" s="1" t="s">
        <v>126</v>
      </c>
      <c r="E14" s="13"/>
      <c r="F14" s="11">
        <v>41518</v>
      </c>
      <c r="G14" s="11">
        <f t="shared" ca="1" si="0"/>
        <v>45786</v>
      </c>
      <c r="H14" s="27"/>
      <c r="I14" s="27">
        <f t="shared" ca="1" si="1"/>
        <v>11.693150684931506</v>
      </c>
      <c r="J14" s="1" t="s">
        <v>60</v>
      </c>
      <c r="K14" s="1" t="s">
        <v>69</v>
      </c>
      <c r="L14" s="1" t="s">
        <v>124</v>
      </c>
      <c r="M14" s="1">
        <v>12</v>
      </c>
      <c r="N14" s="1">
        <v>240</v>
      </c>
      <c r="O14" s="1" t="s">
        <v>143</v>
      </c>
      <c r="P14" s="1" cm="1">
        <f t="array" ref="P14">IF(SUMPRODUCT(--ISNUMBER(FIND({"GbE";"Gigabit";"I219"}, O14)))&gt;0, 1000, 100)</f>
        <v>1000</v>
      </c>
      <c r="Q14" s="1"/>
      <c r="R14" s="1" t="s">
        <v>64</v>
      </c>
      <c r="S14" s="1" t="s">
        <v>60</v>
      </c>
      <c r="T14" s="1" t="s">
        <v>218</v>
      </c>
      <c r="U14" s="1" t="s">
        <v>60</v>
      </c>
      <c r="V14" s="1" t="s">
        <v>386</v>
      </c>
      <c r="W14" s="1" t="s">
        <v>60</v>
      </c>
      <c r="X14" s="1" t="s">
        <v>91</v>
      </c>
      <c r="Y14" s="1" t="s">
        <v>523</v>
      </c>
      <c r="Z14" s="1" t="s">
        <v>85</v>
      </c>
      <c r="AA14" s="1"/>
      <c r="AB14" s="1"/>
    </row>
    <row r="15" spans="1:28" x14ac:dyDescent="0.25">
      <c r="A15" s="1" t="s">
        <v>101</v>
      </c>
      <c r="B15" s="1" t="s">
        <v>58</v>
      </c>
      <c r="C15" s="1" t="s">
        <v>59</v>
      </c>
      <c r="D15" s="1" t="s">
        <v>109</v>
      </c>
      <c r="E15" s="13"/>
      <c r="F15" s="11">
        <v>43923</v>
      </c>
      <c r="G15" s="11">
        <f t="shared" ca="1" si="0"/>
        <v>45786</v>
      </c>
      <c r="H15" s="27"/>
      <c r="I15" s="27">
        <f t="shared" ca="1" si="1"/>
        <v>5.1041095890410961</v>
      </c>
      <c r="J15" s="1" t="s">
        <v>60</v>
      </c>
      <c r="K15" s="1" t="s">
        <v>69</v>
      </c>
      <c r="L15" s="1" t="s">
        <v>111</v>
      </c>
      <c r="M15" s="1">
        <v>8</v>
      </c>
      <c r="N15" s="1">
        <v>240</v>
      </c>
      <c r="O15" s="1" t="s">
        <v>139</v>
      </c>
      <c r="P15" s="1" cm="1">
        <f t="array" ref="P15">IF(SUMPRODUCT(--ISNUMBER(FIND({"GbE";"Gigabit";"I219"}, O15)))&gt;0, 1000, 100)</f>
        <v>1000</v>
      </c>
      <c r="Q15" s="1"/>
      <c r="R15" s="1" t="s">
        <v>64</v>
      </c>
      <c r="S15" s="1" t="s">
        <v>60</v>
      </c>
      <c r="T15" s="1" t="s">
        <v>224</v>
      </c>
      <c r="U15" s="1" t="s">
        <v>60</v>
      </c>
      <c r="V15" s="1" t="s">
        <v>387</v>
      </c>
      <c r="W15" s="1" t="s">
        <v>60</v>
      </c>
      <c r="X15" s="1" t="s">
        <v>92</v>
      </c>
      <c r="Y15" s="1" t="s">
        <v>523</v>
      </c>
      <c r="Z15" s="1" t="s">
        <v>85</v>
      </c>
      <c r="AA15" s="1"/>
      <c r="AB15" s="1"/>
    </row>
    <row r="16" spans="1:28" x14ac:dyDescent="0.25">
      <c r="A16" s="1" t="s">
        <v>102</v>
      </c>
      <c r="B16" s="1" t="s">
        <v>65</v>
      </c>
      <c r="C16" s="1" t="s">
        <v>114</v>
      </c>
      <c r="D16" s="1" t="s">
        <v>131</v>
      </c>
      <c r="E16" s="13"/>
      <c r="F16" s="11">
        <v>43951</v>
      </c>
      <c r="G16" s="11">
        <f t="shared" ca="1" si="0"/>
        <v>45786</v>
      </c>
      <c r="H16" s="27"/>
      <c r="I16" s="27">
        <f t="shared" ca="1" si="1"/>
        <v>5.0273972602739727</v>
      </c>
      <c r="J16" s="1" t="s">
        <v>60</v>
      </c>
      <c r="K16" s="1" t="s">
        <v>127</v>
      </c>
      <c r="L16" s="1" t="s">
        <v>128</v>
      </c>
      <c r="M16" s="1">
        <v>16</v>
      </c>
      <c r="N16" s="1">
        <v>240</v>
      </c>
      <c r="O16" s="1" t="s">
        <v>143</v>
      </c>
      <c r="P16" s="1" cm="1">
        <f t="array" ref="P16">IF(SUMPRODUCT(--ISNUMBER(FIND({"GbE";"Gigabit";"I219"}, O16)))&gt;0, 1000, 100)</f>
        <v>1000</v>
      </c>
      <c r="Q16" s="1"/>
      <c r="R16" s="1" t="s">
        <v>84</v>
      </c>
      <c r="S16" s="1" t="s">
        <v>60</v>
      </c>
      <c r="T16" s="1" t="s">
        <v>218</v>
      </c>
      <c r="U16" s="1" t="s">
        <v>60</v>
      </c>
      <c r="V16" s="1" t="s">
        <v>137</v>
      </c>
      <c r="W16" s="1" t="s">
        <v>60</v>
      </c>
      <c r="X16" s="1" t="s">
        <v>93</v>
      </c>
      <c r="Y16" s="1" t="s">
        <v>523</v>
      </c>
      <c r="Z16" s="1" t="s">
        <v>85</v>
      </c>
      <c r="AA16" s="1"/>
      <c r="AB16" s="1"/>
    </row>
    <row r="17" spans="1:28" x14ac:dyDescent="0.25">
      <c r="A17" s="1" t="s">
        <v>103</v>
      </c>
      <c r="B17" s="1" t="s">
        <v>58</v>
      </c>
      <c r="C17" s="1" t="s">
        <v>59</v>
      </c>
      <c r="D17" s="1" t="s">
        <v>129</v>
      </c>
      <c r="E17" s="13"/>
      <c r="F17" s="11">
        <v>41182</v>
      </c>
      <c r="G17" s="11">
        <f t="shared" ca="1" si="0"/>
        <v>45786</v>
      </c>
      <c r="H17" s="27"/>
      <c r="I17" s="27">
        <f t="shared" ca="1" si="1"/>
        <v>12.613698630136986</v>
      </c>
      <c r="J17" s="1" t="s">
        <v>60</v>
      </c>
      <c r="K17" s="1" t="s">
        <v>127</v>
      </c>
      <c r="L17" s="1" t="s">
        <v>130</v>
      </c>
      <c r="M17" s="1">
        <v>4</v>
      </c>
      <c r="N17" s="1">
        <v>120</v>
      </c>
      <c r="O17" s="1" t="s">
        <v>442</v>
      </c>
      <c r="P17" s="1" cm="1">
        <f t="array" ref="P17">IF(SUMPRODUCT(--ISNUMBER(FIND({"GbE";"Gigabit";"I219"}, O17)))&gt;0, 1000, 100)</f>
        <v>100</v>
      </c>
      <c r="Q17" s="1"/>
      <c r="R17" s="1" t="s">
        <v>64</v>
      </c>
      <c r="S17" s="1" t="s">
        <v>60</v>
      </c>
      <c r="T17" s="1" t="s">
        <v>224</v>
      </c>
      <c r="U17" s="1" t="s">
        <v>60</v>
      </c>
      <c r="V17" s="1" t="s">
        <v>388</v>
      </c>
      <c r="W17" s="1" t="s">
        <v>60</v>
      </c>
      <c r="X17" s="1" t="s">
        <v>94</v>
      </c>
      <c r="Y17" s="1" t="s">
        <v>523</v>
      </c>
      <c r="Z17" s="1" t="s">
        <v>85</v>
      </c>
      <c r="AA17" s="1"/>
      <c r="AB17" s="1"/>
    </row>
    <row r="18" spans="1:28" x14ac:dyDescent="0.25">
      <c r="A18" s="1" t="s">
        <v>136</v>
      </c>
      <c r="B18" s="1" t="s">
        <v>65</v>
      </c>
      <c r="C18" s="1" t="s">
        <v>104</v>
      </c>
      <c r="D18" s="1" t="s">
        <v>116</v>
      </c>
      <c r="E18" s="13"/>
      <c r="F18" s="11">
        <v>43951</v>
      </c>
      <c r="G18" s="11">
        <f t="shared" ca="1" si="0"/>
        <v>45786</v>
      </c>
      <c r="H18" s="27"/>
      <c r="I18" s="27">
        <f t="shared" ca="1" si="1"/>
        <v>5.0273972602739727</v>
      </c>
      <c r="J18" s="1" t="s">
        <v>60</v>
      </c>
      <c r="K18" s="1" t="s">
        <v>140</v>
      </c>
      <c r="L18" s="1" t="s">
        <v>117</v>
      </c>
      <c r="M18" s="1">
        <v>8</v>
      </c>
      <c r="N18" s="1">
        <v>120</v>
      </c>
      <c r="O18" s="1" t="s">
        <v>143</v>
      </c>
      <c r="P18" s="1" cm="1">
        <f t="array" ref="P18">IF(SUMPRODUCT(--ISNUMBER(FIND({"GbE";"Gigabit";"I219"}, O18)))&gt;0, 1000, 100)</f>
        <v>1000</v>
      </c>
      <c r="Q18" s="1"/>
      <c r="R18" s="1" t="s">
        <v>84</v>
      </c>
      <c r="S18" s="1" t="s">
        <v>60</v>
      </c>
      <c r="T18" s="1" t="s">
        <v>215</v>
      </c>
      <c r="U18" s="1" t="s">
        <v>60</v>
      </c>
      <c r="V18" s="1" t="s">
        <v>141</v>
      </c>
      <c r="W18" s="1" t="s">
        <v>60</v>
      </c>
      <c r="X18" s="1" t="s">
        <v>142</v>
      </c>
      <c r="Y18" s="1" t="s">
        <v>523</v>
      </c>
      <c r="Z18" s="1" t="s">
        <v>85</v>
      </c>
      <c r="AA18" s="1"/>
      <c r="AB18" s="1"/>
    </row>
    <row r="19" spans="1:28" x14ac:dyDescent="0.25">
      <c r="A19" s="1" t="s">
        <v>144</v>
      </c>
      <c r="B19" s="1" t="s">
        <v>65</v>
      </c>
      <c r="C19" s="1" t="s">
        <v>146</v>
      </c>
      <c r="D19" s="1" t="s">
        <v>147</v>
      </c>
      <c r="E19" s="13"/>
      <c r="F19" s="11">
        <v>42738</v>
      </c>
      <c r="G19" s="11">
        <f t="shared" ca="1" si="0"/>
        <v>45786</v>
      </c>
      <c r="H19" s="27"/>
      <c r="I19" s="27">
        <f t="shared" ca="1" si="1"/>
        <v>8.3506849315068497</v>
      </c>
      <c r="J19" s="1" t="s">
        <v>60</v>
      </c>
      <c r="K19" s="1" t="s">
        <v>140</v>
      </c>
      <c r="L19" s="8" t="s">
        <v>148</v>
      </c>
      <c r="M19" s="1">
        <v>16</v>
      </c>
      <c r="N19" s="1">
        <v>120</v>
      </c>
      <c r="O19" s="1" t="s">
        <v>149</v>
      </c>
      <c r="P19" s="1" cm="1">
        <f t="array" ref="P19">IF(SUMPRODUCT(--ISNUMBER(FIND({"GbE";"Gigabit";"I219"}, O19)))&gt;0, 1000, 100)</f>
        <v>1000</v>
      </c>
      <c r="Q19" s="1"/>
      <c r="R19" s="1" t="s">
        <v>64</v>
      </c>
      <c r="S19" s="1" t="s">
        <v>60</v>
      </c>
      <c r="T19" s="1" t="s">
        <v>330</v>
      </c>
      <c r="U19" s="1" t="s">
        <v>60</v>
      </c>
      <c r="V19" s="1" t="s">
        <v>155</v>
      </c>
      <c r="W19" s="1" t="s">
        <v>60</v>
      </c>
      <c r="X19" s="1" t="s">
        <v>150</v>
      </c>
      <c r="Y19" s="1" t="s">
        <v>523</v>
      </c>
      <c r="Z19" s="1" t="s">
        <v>85</v>
      </c>
      <c r="AA19" s="1"/>
      <c r="AB19" s="1"/>
    </row>
    <row r="20" spans="1:28" x14ac:dyDescent="0.25">
      <c r="A20" s="1" t="s">
        <v>145</v>
      </c>
      <c r="B20" s="1" t="s">
        <v>65</v>
      </c>
      <c r="C20" s="1" t="s">
        <v>104</v>
      </c>
      <c r="D20" s="1" t="s">
        <v>152</v>
      </c>
      <c r="E20" s="13"/>
      <c r="F20" s="11">
        <v>44565</v>
      </c>
      <c r="G20" s="11">
        <f t="shared" ca="1" si="0"/>
        <v>45786</v>
      </c>
      <c r="H20" s="27"/>
      <c r="I20" s="27">
        <f t="shared" ca="1" si="1"/>
        <v>3.3452054794520549</v>
      </c>
      <c r="J20" s="1" t="s">
        <v>60</v>
      </c>
      <c r="K20" s="1" t="s">
        <v>140</v>
      </c>
      <c r="L20" s="1" t="s">
        <v>153</v>
      </c>
      <c r="M20" s="1">
        <v>8</v>
      </c>
      <c r="N20" s="1">
        <v>220</v>
      </c>
      <c r="O20" s="1" t="s">
        <v>143</v>
      </c>
      <c r="P20" s="1" cm="1">
        <f t="array" ref="P20">IF(SUMPRODUCT(--ISNUMBER(FIND({"GbE";"Gigabit";"I219"}, O20)))&gt;0, 1000, 100)</f>
        <v>1000</v>
      </c>
      <c r="Q20" s="1"/>
      <c r="R20" s="1" t="s">
        <v>84</v>
      </c>
      <c r="S20" s="1" t="s">
        <v>60</v>
      </c>
      <c r="T20" s="1" t="s">
        <v>224</v>
      </c>
      <c r="U20" s="1" t="s">
        <v>60</v>
      </c>
      <c r="V20" s="1" t="s">
        <v>154</v>
      </c>
      <c r="W20" s="1" t="s">
        <v>60</v>
      </c>
      <c r="X20" s="1" t="s">
        <v>156</v>
      </c>
      <c r="Y20" s="1" t="s">
        <v>523</v>
      </c>
      <c r="Z20" s="1" t="s">
        <v>85</v>
      </c>
      <c r="AA20" s="1"/>
      <c r="AB20" s="1"/>
    </row>
    <row r="21" spans="1:28" x14ac:dyDescent="0.25">
      <c r="A21" s="1" t="s">
        <v>151</v>
      </c>
      <c r="B21" s="1" t="s">
        <v>65</v>
      </c>
      <c r="C21" s="1" t="s">
        <v>104</v>
      </c>
      <c r="D21" s="1" t="s">
        <v>152</v>
      </c>
      <c r="E21" s="13"/>
      <c r="F21" s="11">
        <v>44565</v>
      </c>
      <c r="G21" s="11">
        <f t="shared" ca="1" si="0"/>
        <v>45786</v>
      </c>
      <c r="H21" s="27"/>
      <c r="I21" s="27">
        <f t="shared" ca="1" si="1"/>
        <v>3.3452054794520549</v>
      </c>
      <c r="J21" s="1" t="s">
        <v>60</v>
      </c>
      <c r="K21" s="1" t="s">
        <v>140</v>
      </c>
      <c r="L21" s="1" t="s">
        <v>158</v>
      </c>
      <c r="M21" s="1">
        <v>8</v>
      </c>
      <c r="N21" s="1">
        <v>240</v>
      </c>
      <c r="O21" s="1" t="s">
        <v>143</v>
      </c>
      <c r="P21" s="1" cm="1">
        <f t="array" ref="P21">IF(SUMPRODUCT(--ISNUMBER(FIND({"GbE";"Gigabit";"I219"}, O21)))&gt;0, 1000, 100)</f>
        <v>1000</v>
      </c>
      <c r="Q21" s="1"/>
      <c r="R21" s="1" t="s">
        <v>84</v>
      </c>
      <c r="S21" s="1" t="s">
        <v>60</v>
      </c>
      <c r="T21" s="1" t="s">
        <v>332</v>
      </c>
      <c r="U21" s="1" t="s">
        <v>60</v>
      </c>
      <c r="V21" s="1" t="s">
        <v>159</v>
      </c>
      <c r="W21" s="1" t="s">
        <v>60</v>
      </c>
      <c r="X21" s="1" t="s">
        <v>160</v>
      </c>
      <c r="Y21" s="1" t="s">
        <v>523</v>
      </c>
      <c r="Z21" s="1" t="s">
        <v>85</v>
      </c>
      <c r="AA21" s="1"/>
      <c r="AB21" s="1"/>
    </row>
    <row r="22" spans="1:28" x14ac:dyDescent="0.25">
      <c r="A22" s="1" t="s">
        <v>157</v>
      </c>
      <c r="B22" s="1" t="s">
        <v>65</v>
      </c>
      <c r="C22" s="1" t="s">
        <v>104</v>
      </c>
      <c r="D22" s="1" t="s">
        <v>152</v>
      </c>
      <c r="E22" s="13"/>
      <c r="F22" s="11">
        <v>44565</v>
      </c>
      <c r="G22" s="11">
        <f t="shared" ca="1" si="0"/>
        <v>45786</v>
      </c>
      <c r="H22" s="27"/>
      <c r="I22" s="27">
        <f t="shared" ca="1" si="1"/>
        <v>3.3452054794520549</v>
      </c>
      <c r="J22" s="1" t="s">
        <v>60</v>
      </c>
      <c r="K22" s="1" t="s">
        <v>140</v>
      </c>
      <c r="L22" s="1" t="s">
        <v>158</v>
      </c>
      <c r="M22" s="1">
        <v>8</v>
      </c>
      <c r="N22" s="1">
        <v>240</v>
      </c>
      <c r="O22" s="1" t="s">
        <v>143</v>
      </c>
      <c r="P22" s="1" cm="1">
        <f t="array" ref="P22">IF(SUMPRODUCT(--ISNUMBER(FIND({"GbE";"Gigabit";"I219"}, O22)))&gt;0, 1000, 100)</f>
        <v>1000</v>
      </c>
      <c r="Q22" s="1"/>
      <c r="R22" s="1" t="s">
        <v>64</v>
      </c>
      <c r="S22" s="1" t="s">
        <v>60</v>
      </c>
      <c r="T22" s="1" t="s">
        <v>224</v>
      </c>
      <c r="U22" s="1" t="s">
        <v>60</v>
      </c>
      <c r="V22" s="1" t="s">
        <v>389</v>
      </c>
      <c r="W22" s="1" t="s">
        <v>60</v>
      </c>
      <c r="X22" s="1" t="s">
        <v>162</v>
      </c>
      <c r="Y22" s="1" t="s">
        <v>523</v>
      </c>
      <c r="Z22" s="1" t="s">
        <v>85</v>
      </c>
      <c r="AA22" s="1"/>
      <c r="AB22" s="1"/>
    </row>
    <row r="23" spans="1:28" x14ac:dyDescent="0.25">
      <c r="A23" s="1" t="s">
        <v>161</v>
      </c>
      <c r="B23" s="1" t="s">
        <v>65</v>
      </c>
      <c r="C23" s="1" t="s">
        <v>114</v>
      </c>
      <c r="D23" s="1" t="s">
        <v>164</v>
      </c>
      <c r="E23" s="13"/>
      <c r="F23" s="11">
        <v>43951</v>
      </c>
      <c r="G23" s="11">
        <f t="shared" ca="1" si="0"/>
        <v>45786</v>
      </c>
      <c r="H23" s="27"/>
      <c r="I23" s="27">
        <f t="shared" ca="1" si="1"/>
        <v>5.0273972602739727</v>
      </c>
      <c r="J23" s="1" t="s">
        <v>60</v>
      </c>
      <c r="K23" s="1" t="s">
        <v>140</v>
      </c>
      <c r="L23" s="1" t="s">
        <v>165</v>
      </c>
      <c r="M23" s="1">
        <v>16</v>
      </c>
      <c r="N23" s="1">
        <v>448</v>
      </c>
      <c r="O23" s="1" t="s">
        <v>166</v>
      </c>
      <c r="P23" s="1" cm="1">
        <f t="array" ref="P23">IF(SUMPRODUCT(--ISNUMBER(FIND({"GbE";"Gigabit";"I219"}, O23)))&gt;0, 1000, 100)</f>
        <v>1000</v>
      </c>
      <c r="Q23" s="1"/>
      <c r="R23" s="1" t="s">
        <v>84</v>
      </c>
      <c r="S23" s="1" t="s">
        <v>60</v>
      </c>
      <c r="T23" s="1" t="s">
        <v>224</v>
      </c>
      <c r="U23" s="1" t="s">
        <v>60</v>
      </c>
      <c r="V23" s="1" t="s">
        <v>390</v>
      </c>
      <c r="W23" s="1" t="s">
        <v>60</v>
      </c>
      <c r="X23" s="1" t="s">
        <v>167</v>
      </c>
      <c r="Y23" s="1" t="s">
        <v>523</v>
      </c>
      <c r="Z23" s="1" t="s">
        <v>85</v>
      </c>
      <c r="AA23" s="1"/>
      <c r="AB23" s="1"/>
    </row>
    <row r="24" spans="1:28" x14ac:dyDescent="0.25">
      <c r="A24" s="1" t="s">
        <v>163</v>
      </c>
      <c r="B24" s="1" t="s">
        <v>65</v>
      </c>
      <c r="C24" s="1" t="s">
        <v>169</v>
      </c>
      <c r="D24" s="1" t="s">
        <v>170</v>
      </c>
      <c r="E24" s="13"/>
      <c r="F24" s="11">
        <v>45299</v>
      </c>
      <c r="G24" s="11">
        <f t="shared" ca="1" si="0"/>
        <v>45786</v>
      </c>
      <c r="H24" s="27">
        <v>2200</v>
      </c>
      <c r="I24" s="27">
        <f t="shared" ca="1" si="1"/>
        <v>1.3342465753424657</v>
      </c>
      <c r="J24" s="1" t="s">
        <v>61</v>
      </c>
      <c r="K24" s="1" t="s">
        <v>140</v>
      </c>
      <c r="L24" s="1" t="s">
        <v>171</v>
      </c>
      <c r="M24" s="1">
        <v>16</v>
      </c>
      <c r="N24" s="1">
        <v>240</v>
      </c>
      <c r="O24" s="1" t="s">
        <v>143</v>
      </c>
      <c r="P24" s="1" cm="1">
        <f t="array" ref="P24">IF(SUMPRODUCT(--ISNUMBER(FIND({"GbE";"Gigabit";"I219"}, O24)))&gt;0, 1000, 100)</f>
        <v>1000</v>
      </c>
      <c r="Q24" s="1"/>
      <c r="R24" s="1" t="s">
        <v>64</v>
      </c>
      <c r="S24" s="1" t="s">
        <v>60</v>
      </c>
      <c r="T24" s="1" t="s">
        <v>331</v>
      </c>
      <c r="U24" s="1" t="s">
        <v>60</v>
      </c>
      <c r="V24" s="1" t="s">
        <v>172</v>
      </c>
      <c r="W24" s="1" t="s">
        <v>60</v>
      </c>
      <c r="X24" s="1" t="s">
        <v>173</v>
      </c>
      <c r="Y24" s="1" t="s">
        <v>523</v>
      </c>
      <c r="Z24" s="1" t="s">
        <v>85</v>
      </c>
      <c r="AA24" s="1"/>
      <c r="AB24" s="1"/>
    </row>
    <row r="25" spans="1:28" x14ac:dyDescent="0.25">
      <c r="A25" s="1" t="s">
        <v>168</v>
      </c>
      <c r="B25" s="1" t="s">
        <v>65</v>
      </c>
      <c r="C25" s="1" t="s">
        <v>169</v>
      </c>
      <c r="D25" s="1" t="s">
        <v>170</v>
      </c>
      <c r="E25" s="13"/>
      <c r="F25" s="11">
        <v>45299</v>
      </c>
      <c r="G25" s="11">
        <f t="shared" ca="1" si="0"/>
        <v>45786</v>
      </c>
      <c r="H25" s="27">
        <v>2200</v>
      </c>
      <c r="I25" s="27">
        <f t="shared" ca="1" si="1"/>
        <v>1.3342465753424657</v>
      </c>
      <c r="J25" s="1" t="s">
        <v>61</v>
      </c>
      <c r="K25" s="1" t="s">
        <v>140</v>
      </c>
      <c r="L25" s="1" t="s">
        <v>171</v>
      </c>
      <c r="M25" s="1">
        <v>16</v>
      </c>
      <c r="N25" s="1">
        <v>240</v>
      </c>
      <c r="O25" s="1" t="s">
        <v>143</v>
      </c>
      <c r="P25" s="1" cm="1">
        <f t="array" ref="P25">IF(SUMPRODUCT(--ISNUMBER(FIND({"GbE";"Gigabit";"I219"}, O25)))&gt;0, 1000, 100)</f>
        <v>1000</v>
      </c>
      <c r="Q25" s="1"/>
      <c r="R25" s="1" t="s">
        <v>64</v>
      </c>
      <c r="S25" s="1" t="s">
        <v>60</v>
      </c>
      <c r="T25" s="1" t="s">
        <v>224</v>
      </c>
      <c r="U25" s="1" t="s">
        <v>60</v>
      </c>
      <c r="V25" s="1" t="s">
        <v>391</v>
      </c>
      <c r="W25" s="1" t="s">
        <v>60</v>
      </c>
      <c r="X25" s="1" t="s">
        <v>175</v>
      </c>
      <c r="Y25" s="1" t="s">
        <v>523</v>
      </c>
      <c r="Z25" s="1" t="s">
        <v>85</v>
      </c>
      <c r="AA25" s="1"/>
      <c r="AB25" s="1"/>
    </row>
    <row r="26" spans="1:28" x14ac:dyDescent="0.25">
      <c r="A26" s="1" t="s">
        <v>174</v>
      </c>
      <c r="B26" s="1" t="s">
        <v>65</v>
      </c>
      <c r="C26" s="1" t="s">
        <v>107</v>
      </c>
      <c r="D26" s="1" t="s">
        <v>107</v>
      </c>
      <c r="F26" s="11">
        <v>41518</v>
      </c>
      <c r="G26" s="11">
        <f t="shared" ca="1" si="0"/>
        <v>45786</v>
      </c>
      <c r="H26" s="27"/>
      <c r="I26" s="27">
        <f t="shared" ca="1" si="1"/>
        <v>11.693150684931506</v>
      </c>
      <c r="J26" s="1" t="s">
        <v>60</v>
      </c>
      <c r="K26" s="1" t="s">
        <v>140</v>
      </c>
      <c r="L26" s="1" t="s">
        <v>177</v>
      </c>
      <c r="M26" s="1">
        <v>12</v>
      </c>
      <c r="N26" s="1">
        <v>120</v>
      </c>
      <c r="O26" s="1" t="s">
        <v>178</v>
      </c>
      <c r="P26" s="1" cm="1">
        <f t="array" ref="P26">IF(SUMPRODUCT(--ISNUMBER(FIND({"GbE";"Gigabit";"I219"}, O26)))&gt;0, 1000, 100)</f>
        <v>100</v>
      </c>
      <c r="Q26" s="1"/>
      <c r="R26" s="1" t="s">
        <v>64</v>
      </c>
      <c r="S26" s="1" t="s">
        <v>60</v>
      </c>
      <c r="T26" s="1" t="s">
        <v>215</v>
      </c>
      <c r="U26" s="1" t="s">
        <v>60</v>
      </c>
      <c r="V26" s="1" t="s">
        <v>179</v>
      </c>
      <c r="W26" s="1" t="s">
        <v>60</v>
      </c>
      <c r="X26" s="1" t="s">
        <v>180</v>
      </c>
      <c r="Y26" s="1" t="s">
        <v>523</v>
      </c>
      <c r="Z26" s="1" t="s">
        <v>85</v>
      </c>
      <c r="AA26" s="1"/>
      <c r="AB26" s="1"/>
    </row>
    <row r="27" spans="1:28" x14ac:dyDescent="0.25">
      <c r="A27" s="1" t="s">
        <v>176</v>
      </c>
      <c r="B27" s="1" t="s">
        <v>65</v>
      </c>
      <c r="C27" s="1" t="s">
        <v>104</v>
      </c>
      <c r="D27" s="1" t="s">
        <v>152</v>
      </c>
      <c r="E27" s="13"/>
      <c r="F27" s="11">
        <v>44565</v>
      </c>
      <c r="G27" s="11">
        <f t="shared" ca="1" si="0"/>
        <v>45786</v>
      </c>
      <c r="H27" s="27"/>
      <c r="I27" s="27">
        <f t="shared" ca="1" si="1"/>
        <v>3.3452054794520549</v>
      </c>
      <c r="J27" s="1" t="s">
        <v>60</v>
      </c>
      <c r="K27" s="1" t="s">
        <v>140</v>
      </c>
      <c r="L27" s="1" t="s">
        <v>153</v>
      </c>
      <c r="M27" s="1">
        <v>24</v>
      </c>
      <c r="N27" s="1">
        <v>448</v>
      </c>
      <c r="O27" s="1" t="s">
        <v>143</v>
      </c>
      <c r="P27" s="1" cm="1">
        <f t="array" ref="P27">IF(SUMPRODUCT(--ISNUMBER(FIND({"GbE";"Gigabit";"I219"}, O27)))&gt;0, 1000, 100)</f>
        <v>1000</v>
      </c>
      <c r="Q27" s="1"/>
      <c r="R27" s="1" t="s">
        <v>84</v>
      </c>
      <c r="S27" s="1" t="s">
        <v>60</v>
      </c>
      <c r="T27" s="1" t="s">
        <v>332</v>
      </c>
      <c r="U27" s="1" t="s">
        <v>60</v>
      </c>
      <c r="V27" s="1" t="s">
        <v>182</v>
      </c>
      <c r="W27" s="1" t="s">
        <v>60</v>
      </c>
      <c r="X27" s="1" t="s">
        <v>183</v>
      </c>
      <c r="Y27" s="1" t="s">
        <v>523</v>
      </c>
      <c r="Z27" s="1" t="s">
        <v>85</v>
      </c>
      <c r="AA27" s="1"/>
      <c r="AB27" s="1"/>
    </row>
    <row r="28" spans="1:28" x14ac:dyDescent="0.25">
      <c r="A28" s="1" t="s">
        <v>181</v>
      </c>
      <c r="B28" s="1" t="s">
        <v>65</v>
      </c>
      <c r="C28" s="1" t="s">
        <v>104</v>
      </c>
      <c r="D28" s="1" t="s">
        <v>185</v>
      </c>
      <c r="E28" s="13"/>
      <c r="F28" s="11">
        <v>43951</v>
      </c>
      <c r="G28" s="11">
        <f t="shared" ca="1" si="0"/>
        <v>45786</v>
      </c>
      <c r="H28" s="27"/>
      <c r="I28" s="27">
        <f t="shared" ca="1" si="1"/>
        <v>5.0273972602739727</v>
      </c>
      <c r="J28" s="1" t="s">
        <v>60</v>
      </c>
      <c r="K28" s="1" t="s">
        <v>140</v>
      </c>
      <c r="L28" s="1" t="s">
        <v>128</v>
      </c>
      <c r="M28" s="1">
        <v>12</v>
      </c>
      <c r="N28" s="1">
        <v>240</v>
      </c>
      <c r="O28" s="1" t="s">
        <v>143</v>
      </c>
      <c r="P28" s="1" cm="1">
        <f t="array" ref="P28">IF(SUMPRODUCT(--ISNUMBER(FIND({"GbE";"Gigabit";"I219"}, O28)))&gt;0, 1000, 100)</f>
        <v>1000</v>
      </c>
      <c r="Q28" s="1"/>
      <c r="R28" s="1" t="s">
        <v>64</v>
      </c>
      <c r="S28" s="1" t="s">
        <v>60</v>
      </c>
      <c r="T28" s="1" t="s">
        <v>224</v>
      </c>
      <c r="U28" s="1" t="s">
        <v>60</v>
      </c>
      <c r="V28" s="1" t="s">
        <v>186</v>
      </c>
      <c r="W28" s="1" t="s">
        <v>60</v>
      </c>
      <c r="X28" s="1" t="s">
        <v>187</v>
      </c>
      <c r="Y28" s="1" t="s">
        <v>523</v>
      </c>
      <c r="Z28" s="1" t="s">
        <v>85</v>
      </c>
      <c r="AA28" s="1"/>
      <c r="AB28" s="1"/>
    </row>
    <row r="29" spans="1:28" x14ac:dyDescent="0.25">
      <c r="A29" s="1" t="s">
        <v>184</v>
      </c>
      <c r="B29" s="1" t="s">
        <v>65</v>
      </c>
      <c r="C29" s="1" t="s">
        <v>189</v>
      </c>
      <c r="D29" s="1" t="s">
        <v>190</v>
      </c>
      <c r="E29" s="13"/>
      <c r="F29" s="11">
        <v>42025</v>
      </c>
      <c r="G29" s="11">
        <f t="shared" ca="1" si="0"/>
        <v>45786</v>
      </c>
      <c r="H29" s="27"/>
      <c r="I29" s="27">
        <f t="shared" ca="1" si="1"/>
        <v>10.304109589041095</v>
      </c>
      <c r="J29" s="1" t="s">
        <v>60</v>
      </c>
      <c r="K29" s="1" t="s">
        <v>140</v>
      </c>
      <c r="L29" s="1" t="s">
        <v>195</v>
      </c>
      <c r="M29" s="1">
        <v>16</v>
      </c>
      <c r="N29" s="1">
        <v>448</v>
      </c>
      <c r="O29" s="1" t="s">
        <v>143</v>
      </c>
      <c r="P29" s="1" cm="1">
        <f t="array" ref="P29">IF(SUMPRODUCT(--ISNUMBER(FIND({"GbE";"Gigabit";"I219"}, O29)))&gt;0, 1000, 100)</f>
        <v>1000</v>
      </c>
      <c r="Q29" s="1"/>
      <c r="R29" s="1" t="s">
        <v>64</v>
      </c>
      <c r="S29" s="1" t="s">
        <v>60</v>
      </c>
      <c r="T29" s="1" t="s">
        <v>332</v>
      </c>
      <c r="U29" s="1" t="s">
        <v>60</v>
      </c>
      <c r="V29" s="1" t="s">
        <v>191</v>
      </c>
      <c r="W29" s="1" t="s">
        <v>60</v>
      </c>
      <c r="X29" s="1" t="s">
        <v>192</v>
      </c>
      <c r="Y29" s="1" t="s">
        <v>523</v>
      </c>
      <c r="Z29" s="1" t="s">
        <v>85</v>
      </c>
      <c r="AA29" s="1"/>
      <c r="AB29" s="1"/>
    </row>
    <row r="30" spans="1:28" x14ac:dyDescent="0.25">
      <c r="A30" s="1" t="s">
        <v>188</v>
      </c>
      <c r="B30" s="1" t="s">
        <v>65</v>
      </c>
      <c r="C30" s="1" t="s">
        <v>59</v>
      </c>
      <c r="D30" s="1" t="s">
        <v>194</v>
      </c>
      <c r="E30" s="13"/>
      <c r="F30" s="11">
        <v>44327</v>
      </c>
      <c r="G30" s="11">
        <f t="shared" ca="1" si="0"/>
        <v>45786</v>
      </c>
      <c r="H30" s="27"/>
      <c r="I30" s="27">
        <f t="shared" ca="1" si="1"/>
        <v>3.9972602739726026</v>
      </c>
      <c r="J30" s="1" t="s">
        <v>60</v>
      </c>
      <c r="K30" s="1" t="s">
        <v>140</v>
      </c>
      <c r="L30" s="1" t="s">
        <v>196</v>
      </c>
      <c r="M30" s="1">
        <v>16</v>
      </c>
      <c r="N30" s="1">
        <v>240</v>
      </c>
      <c r="O30" s="1" t="s">
        <v>139</v>
      </c>
      <c r="P30" s="1" cm="1">
        <f t="array" ref="P30">IF(SUMPRODUCT(--ISNUMBER(FIND({"GbE";"Gigabit";"I219"}, O30)))&gt;0, 1000, 100)</f>
        <v>1000</v>
      </c>
      <c r="Q30" s="1"/>
      <c r="R30" s="1" t="s">
        <v>64</v>
      </c>
      <c r="S30" s="1" t="s">
        <v>60</v>
      </c>
      <c r="T30" s="1" t="s">
        <v>218</v>
      </c>
      <c r="U30" s="1" t="s">
        <v>60</v>
      </c>
      <c r="V30" s="1" t="s">
        <v>392</v>
      </c>
      <c r="W30" s="1" t="s">
        <v>60</v>
      </c>
      <c r="X30" s="1" t="s">
        <v>197</v>
      </c>
      <c r="Y30" s="1" t="s">
        <v>523</v>
      </c>
      <c r="Z30" s="1" t="s">
        <v>85</v>
      </c>
      <c r="AA30" s="1"/>
      <c r="AB30" s="1"/>
    </row>
    <row r="31" spans="1:28" x14ac:dyDescent="0.25">
      <c r="A31" s="1" t="s">
        <v>193</v>
      </c>
      <c r="B31" s="1" t="s">
        <v>65</v>
      </c>
      <c r="C31" s="1" t="s">
        <v>189</v>
      </c>
      <c r="D31" s="1" t="s">
        <v>199</v>
      </c>
      <c r="E31" s="13"/>
      <c r="F31" s="11">
        <v>42025</v>
      </c>
      <c r="G31" s="11">
        <f t="shared" ca="1" si="0"/>
        <v>45786</v>
      </c>
      <c r="H31" s="27"/>
      <c r="I31" s="27">
        <f t="shared" ca="1" si="1"/>
        <v>10.304109589041095</v>
      </c>
      <c r="J31" s="1" t="s">
        <v>60</v>
      </c>
      <c r="K31" s="1" t="s">
        <v>140</v>
      </c>
      <c r="L31" s="1" t="s">
        <v>200</v>
      </c>
      <c r="M31" s="1">
        <v>8</v>
      </c>
      <c r="N31" s="1">
        <v>120</v>
      </c>
      <c r="O31" s="1" t="s">
        <v>143</v>
      </c>
      <c r="P31" s="1" cm="1">
        <f t="array" ref="P31">IF(SUMPRODUCT(--ISNUMBER(FIND({"GbE";"Gigabit";"I219"}, O31)))&gt;0, 1000, 100)</f>
        <v>1000</v>
      </c>
      <c r="Q31" s="1"/>
      <c r="R31" s="1" t="s">
        <v>64</v>
      </c>
      <c r="S31" s="1" t="s">
        <v>60</v>
      </c>
      <c r="T31" s="1" t="s">
        <v>224</v>
      </c>
      <c r="U31" s="1" t="s">
        <v>60</v>
      </c>
      <c r="V31" s="1" t="s">
        <v>201</v>
      </c>
      <c r="W31" s="1" t="s">
        <v>60</v>
      </c>
      <c r="X31" s="1" t="s">
        <v>202</v>
      </c>
      <c r="Y31" s="1" t="s">
        <v>523</v>
      </c>
      <c r="Z31" s="1" t="s">
        <v>85</v>
      </c>
      <c r="AA31" s="1"/>
      <c r="AB31" s="1"/>
    </row>
    <row r="32" spans="1:28" x14ac:dyDescent="0.25">
      <c r="A32" s="1" t="s">
        <v>198</v>
      </c>
      <c r="B32" s="1" t="s">
        <v>65</v>
      </c>
      <c r="C32" s="1" t="s">
        <v>104</v>
      </c>
      <c r="D32" s="1" t="s">
        <v>185</v>
      </c>
      <c r="E32" s="13"/>
      <c r="F32" s="11">
        <v>43951</v>
      </c>
      <c r="G32" s="11">
        <f t="shared" ca="1" si="0"/>
        <v>45786</v>
      </c>
      <c r="H32" s="27"/>
      <c r="I32" s="27">
        <f t="shared" ca="1" si="1"/>
        <v>5.0273972602739727</v>
      </c>
      <c r="J32" s="1" t="s">
        <v>60</v>
      </c>
      <c r="K32" s="1" t="s">
        <v>140</v>
      </c>
      <c r="L32" s="1" t="s">
        <v>128</v>
      </c>
      <c r="M32" s="1">
        <v>12</v>
      </c>
      <c r="N32" s="1">
        <v>448</v>
      </c>
      <c r="O32" s="1" t="s">
        <v>143</v>
      </c>
      <c r="P32" s="1" cm="1">
        <f t="array" ref="P32">IF(SUMPRODUCT(--ISNUMBER(FIND({"GbE";"Gigabit";"I219"}, O32)))&gt;0, 1000, 100)</f>
        <v>1000</v>
      </c>
      <c r="Q32" s="1"/>
      <c r="R32" s="1" t="s">
        <v>84</v>
      </c>
      <c r="S32" s="1" t="s">
        <v>60</v>
      </c>
      <c r="T32" s="1" t="s">
        <v>224</v>
      </c>
      <c r="U32" s="1" t="s">
        <v>60</v>
      </c>
      <c r="V32" s="1" t="s">
        <v>204</v>
      </c>
      <c r="W32" s="1" t="s">
        <v>60</v>
      </c>
      <c r="X32" s="1" t="s">
        <v>333</v>
      </c>
      <c r="Y32" s="1" t="s">
        <v>523</v>
      </c>
      <c r="Z32" s="1" t="s">
        <v>85</v>
      </c>
      <c r="AA32" s="1"/>
      <c r="AB32" s="1"/>
    </row>
    <row r="33" spans="1:28" x14ac:dyDescent="0.25">
      <c r="A33" s="1" t="s">
        <v>203</v>
      </c>
      <c r="B33" s="1" t="s">
        <v>65</v>
      </c>
      <c r="C33" s="1" t="s">
        <v>260</v>
      </c>
      <c r="D33" s="1" t="s">
        <v>170</v>
      </c>
      <c r="E33" s="13"/>
      <c r="F33" s="11">
        <v>45299</v>
      </c>
      <c r="G33" s="11">
        <f t="shared" ca="1" si="0"/>
        <v>45786</v>
      </c>
      <c r="H33" s="27">
        <v>2200</v>
      </c>
      <c r="I33" s="27">
        <f t="shared" ca="1" si="1"/>
        <v>1.3342465753424657</v>
      </c>
      <c r="J33" s="1" t="s">
        <v>61</v>
      </c>
      <c r="K33" s="1" t="s">
        <v>140</v>
      </c>
      <c r="L33" s="1" t="s">
        <v>171</v>
      </c>
      <c r="M33" s="1">
        <v>16</v>
      </c>
      <c r="N33" s="1">
        <v>448</v>
      </c>
      <c r="O33" s="1" t="s">
        <v>143</v>
      </c>
      <c r="P33" s="1" cm="1">
        <f t="array" ref="P33">IF(SUMPRODUCT(--ISNUMBER(FIND({"GbE";"Gigabit";"I219"}, O33)))&gt;0, 1000, 100)</f>
        <v>1000</v>
      </c>
      <c r="Q33" s="1"/>
      <c r="R33" s="1" t="s">
        <v>64</v>
      </c>
      <c r="S33" s="1" t="s">
        <v>60</v>
      </c>
      <c r="T33" s="1" t="s">
        <v>224</v>
      </c>
      <c r="U33" s="1" t="s">
        <v>60</v>
      </c>
      <c r="V33" s="1" t="s">
        <v>334</v>
      </c>
      <c r="W33" s="1" t="s">
        <v>60</v>
      </c>
      <c r="X33" s="1" t="s">
        <v>335</v>
      </c>
      <c r="Y33" s="1" t="s">
        <v>523</v>
      </c>
      <c r="Z33" s="1" t="s">
        <v>85</v>
      </c>
      <c r="AA33" s="1"/>
      <c r="AB33" s="1"/>
    </row>
    <row r="34" spans="1:28" x14ac:dyDescent="0.25">
      <c r="A34" s="1" t="s">
        <v>205</v>
      </c>
      <c r="B34" s="1" t="s">
        <v>65</v>
      </c>
      <c r="C34" s="1" t="s">
        <v>104</v>
      </c>
      <c r="D34" s="1" t="s">
        <v>152</v>
      </c>
      <c r="E34" s="13"/>
      <c r="F34" s="11">
        <v>44565</v>
      </c>
      <c r="G34" s="11">
        <f t="shared" ca="1" si="0"/>
        <v>45786</v>
      </c>
      <c r="H34" s="27"/>
      <c r="I34" s="27">
        <f t="shared" ref="I34:I65" ca="1" si="2">(G34-F34)/365</f>
        <v>3.3452054794520549</v>
      </c>
      <c r="J34" s="1" t="s">
        <v>60</v>
      </c>
      <c r="K34" s="1" t="s">
        <v>140</v>
      </c>
      <c r="L34" s="1" t="s">
        <v>158</v>
      </c>
      <c r="M34" s="1">
        <v>12</v>
      </c>
      <c r="N34" s="1">
        <v>220</v>
      </c>
      <c r="O34" s="1" t="s">
        <v>143</v>
      </c>
      <c r="P34" s="1" cm="1">
        <f t="array" ref="P34">IF(SUMPRODUCT(--ISNUMBER(FIND({"GbE";"Gigabit";"I219"}, O34)))&gt;0, 1000, 100)</f>
        <v>1000</v>
      </c>
      <c r="Q34" s="1"/>
      <c r="R34" s="1" t="s">
        <v>84</v>
      </c>
      <c r="S34" s="1" t="s">
        <v>60</v>
      </c>
      <c r="T34" s="1" t="s">
        <v>224</v>
      </c>
      <c r="U34" s="1" t="s">
        <v>60</v>
      </c>
      <c r="V34" s="1" t="s">
        <v>206</v>
      </c>
      <c r="W34" s="1" t="s">
        <v>60</v>
      </c>
      <c r="X34" s="1" t="s">
        <v>207</v>
      </c>
      <c r="Y34" s="1" t="s">
        <v>523</v>
      </c>
      <c r="Z34" s="1" t="s">
        <v>85</v>
      </c>
      <c r="AA34" s="1"/>
      <c r="AB34" s="1"/>
    </row>
    <row r="35" spans="1:28" x14ac:dyDescent="0.25">
      <c r="A35" s="1" t="s">
        <v>208</v>
      </c>
      <c r="B35" s="1" t="s">
        <v>65</v>
      </c>
      <c r="C35" s="1" t="s">
        <v>104</v>
      </c>
      <c r="D35" s="1" t="s">
        <v>185</v>
      </c>
      <c r="E35" s="13"/>
      <c r="F35" s="11">
        <v>43951</v>
      </c>
      <c r="G35" s="11">
        <f t="shared" ca="1" si="0"/>
        <v>45786</v>
      </c>
      <c r="H35" s="27"/>
      <c r="I35" s="27">
        <f t="shared" ca="1" si="2"/>
        <v>5.0273972602739727</v>
      </c>
      <c r="J35" s="1" t="s">
        <v>60</v>
      </c>
      <c r="K35" s="1" t="s">
        <v>140</v>
      </c>
      <c r="L35" s="1" t="s">
        <v>117</v>
      </c>
      <c r="M35" s="1">
        <v>8</v>
      </c>
      <c r="N35" s="9">
        <v>448</v>
      </c>
      <c r="O35" s="1" t="s">
        <v>143</v>
      </c>
      <c r="P35" s="1" cm="1">
        <f t="array" ref="P35">IF(SUMPRODUCT(--ISNUMBER(FIND({"GbE";"Gigabit";"I219"}, O35)))&gt;0, 1000, 100)</f>
        <v>1000</v>
      </c>
      <c r="Q35" s="1"/>
      <c r="R35" s="1" t="s">
        <v>84</v>
      </c>
      <c r="S35" s="1" t="s">
        <v>60</v>
      </c>
      <c r="T35" s="1" t="s">
        <v>218</v>
      </c>
      <c r="U35" s="1" t="s">
        <v>60</v>
      </c>
      <c r="V35" s="1" t="s">
        <v>209</v>
      </c>
      <c r="W35" s="1" t="s">
        <v>60</v>
      </c>
      <c r="X35" s="1" t="s">
        <v>210</v>
      </c>
      <c r="Y35" s="1" t="s">
        <v>523</v>
      </c>
      <c r="Z35" s="1" t="s">
        <v>85</v>
      </c>
      <c r="AA35" s="1"/>
      <c r="AB35" s="1"/>
    </row>
    <row r="36" spans="1:28" x14ac:dyDescent="0.25">
      <c r="A36" s="1" t="s">
        <v>245</v>
      </c>
      <c r="B36" s="1" t="s">
        <v>65</v>
      </c>
      <c r="C36" s="1" t="s">
        <v>211</v>
      </c>
      <c r="D36" s="1" t="s">
        <v>212</v>
      </c>
      <c r="E36" s="12"/>
      <c r="F36" s="11">
        <v>40685</v>
      </c>
      <c r="G36" s="11">
        <f t="shared" ca="1" si="0"/>
        <v>45786</v>
      </c>
      <c r="H36" s="27"/>
      <c r="I36" s="27">
        <f t="shared" ca="1" si="2"/>
        <v>13.975342465753425</v>
      </c>
      <c r="J36" s="1" t="s">
        <v>60</v>
      </c>
      <c r="K36" s="1" t="s">
        <v>213</v>
      </c>
      <c r="L36" s="1" t="s">
        <v>214</v>
      </c>
      <c r="M36" s="1">
        <v>16</v>
      </c>
      <c r="N36" s="1">
        <v>500</v>
      </c>
      <c r="O36" s="1" t="s">
        <v>178</v>
      </c>
      <c r="P36" s="1" cm="1">
        <f t="array" ref="P36">IF(SUMPRODUCT(--ISNUMBER(FIND({"GbE";"Gigabit";"I219"}, O36)))&gt;0, 1000, 100)</f>
        <v>100</v>
      </c>
      <c r="Q36" s="1"/>
      <c r="R36" s="1" t="s">
        <v>64</v>
      </c>
      <c r="S36" s="1" t="s">
        <v>60</v>
      </c>
      <c r="T36" s="1" t="s">
        <v>215</v>
      </c>
      <c r="U36" s="1" t="s">
        <v>60</v>
      </c>
      <c r="V36" s="1" t="s">
        <v>372</v>
      </c>
      <c r="W36" s="1" t="s">
        <v>60</v>
      </c>
      <c r="X36" s="1" t="s">
        <v>216</v>
      </c>
      <c r="Y36" s="1" t="s">
        <v>523</v>
      </c>
      <c r="Z36" s="1" t="s">
        <v>85</v>
      </c>
      <c r="AA36" s="1"/>
      <c r="AB36" s="1"/>
    </row>
    <row r="37" spans="1:28" x14ac:dyDescent="0.25">
      <c r="A37" s="1" t="s">
        <v>246</v>
      </c>
      <c r="B37" s="1" t="s">
        <v>65</v>
      </c>
      <c r="C37" s="1" t="s">
        <v>104</v>
      </c>
      <c r="D37" s="1" t="s">
        <v>185</v>
      </c>
      <c r="E37" s="13"/>
      <c r="F37" s="11">
        <v>43951</v>
      </c>
      <c r="G37" s="11">
        <f t="shared" ca="1" si="0"/>
        <v>45786</v>
      </c>
      <c r="H37" s="27"/>
      <c r="I37" s="27">
        <f t="shared" ca="1" si="2"/>
        <v>5.0273972602739727</v>
      </c>
      <c r="J37" s="1" t="s">
        <v>60</v>
      </c>
      <c r="K37" s="1" t="s">
        <v>213</v>
      </c>
      <c r="L37" s="1" t="s">
        <v>128</v>
      </c>
      <c r="M37" s="1">
        <v>8</v>
      </c>
      <c r="N37" s="1">
        <v>480</v>
      </c>
      <c r="O37" s="1" t="s">
        <v>217</v>
      </c>
      <c r="P37" s="1" cm="1">
        <f t="array" ref="P37">IF(SUMPRODUCT(--ISNUMBER(FIND({"GbE";"Gigabit";"I219"}, O37)))&gt;0, 1000, 100)</f>
        <v>100</v>
      </c>
      <c r="Q37" s="1"/>
      <c r="R37" s="1" t="s">
        <v>64</v>
      </c>
      <c r="S37" s="1" t="s">
        <v>60</v>
      </c>
      <c r="T37" s="1" t="s">
        <v>218</v>
      </c>
      <c r="U37" s="1" t="s">
        <v>60</v>
      </c>
      <c r="V37" s="1" t="s">
        <v>393</v>
      </c>
      <c r="W37" s="1" t="s">
        <v>60</v>
      </c>
      <c r="X37" s="1" t="s">
        <v>219</v>
      </c>
      <c r="Y37" s="1" t="s">
        <v>523</v>
      </c>
      <c r="Z37" s="1" t="s">
        <v>85</v>
      </c>
      <c r="AA37" s="1"/>
      <c r="AB37" s="1"/>
    </row>
    <row r="38" spans="1:28" x14ac:dyDescent="0.25">
      <c r="A38" s="1" t="s">
        <v>247</v>
      </c>
      <c r="B38" s="1" t="s">
        <v>65</v>
      </c>
      <c r="C38" s="1" t="s">
        <v>104</v>
      </c>
      <c r="D38" s="1" t="s">
        <v>220</v>
      </c>
      <c r="E38" s="13"/>
      <c r="F38" s="11">
        <v>42025</v>
      </c>
      <c r="G38" s="11">
        <f t="shared" ca="1" si="0"/>
        <v>45786</v>
      </c>
      <c r="H38" s="27"/>
      <c r="I38" s="27">
        <f t="shared" ca="1" si="2"/>
        <v>10.304109589041095</v>
      </c>
      <c r="J38" s="1" t="s">
        <v>60</v>
      </c>
      <c r="K38" s="1" t="s">
        <v>213</v>
      </c>
      <c r="L38" s="1" t="s">
        <v>221</v>
      </c>
      <c r="M38" s="1">
        <v>4</v>
      </c>
      <c r="N38" s="1">
        <v>120</v>
      </c>
      <c r="O38" s="1" t="s">
        <v>143</v>
      </c>
      <c r="P38" s="1" cm="1">
        <f t="array" ref="P38">IF(SUMPRODUCT(--ISNUMBER(FIND({"GbE";"Gigabit";"I219"}, O38)))&gt;0, 1000, 100)</f>
        <v>1000</v>
      </c>
      <c r="Q38" s="1"/>
      <c r="R38" s="1" t="s">
        <v>64</v>
      </c>
      <c r="S38" s="1" t="s">
        <v>60</v>
      </c>
      <c r="T38" s="1" t="s">
        <v>215</v>
      </c>
      <c r="U38" s="1" t="s">
        <v>60</v>
      </c>
      <c r="V38" s="1" t="s">
        <v>394</v>
      </c>
      <c r="W38" s="1" t="s">
        <v>60</v>
      </c>
      <c r="X38" s="1" t="s">
        <v>222</v>
      </c>
      <c r="Y38" s="1" t="s">
        <v>523</v>
      </c>
      <c r="Z38" s="1" t="s">
        <v>85</v>
      </c>
      <c r="AA38" s="1"/>
      <c r="AB38" s="1"/>
    </row>
    <row r="39" spans="1:28" x14ac:dyDescent="0.25">
      <c r="A39" s="1" t="s">
        <v>248</v>
      </c>
      <c r="B39" s="1" t="s">
        <v>65</v>
      </c>
      <c r="C39" s="1" t="s">
        <v>107</v>
      </c>
      <c r="D39" s="1" t="s">
        <v>107</v>
      </c>
      <c r="E39" s="13"/>
      <c r="F39" s="11">
        <v>41426</v>
      </c>
      <c r="G39" s="11">
        <f t="shared" ca="1" si="0"/>
        <v>45786</v>
      </c>
      <c r="H39" s="27"/>
      <c r="I39" s="27">
        <f t="shared" ca="1" si="2"/>
        <v>11.945205479452055</v>
      </c>
      <c r="J39" s="1" t="s">
        <v>60</v>
      </c>
      <c r="K39" s="1" t="s">
        <v>213</v>
      </c>
      <c r="L39" s="1" t="s">
        <v>223</v>
      </c>
      <c r="M39" s="1">
        <v>8</v>
      </c>
      <c r="N39" s="1">
        <v>480</v>
      </c>
      <c r="O39" s="1" t="s">
        <v>143</v>
      </c>
      <c r="P39" s="1" cm="1">
        <f t="array" ref="P39">IF(SUMPRODUCT(--ISNUMBER(FIND({"GbE";"Gigabit";"I219"}, O39)))&gt;0, 1000, 100)</f>
        <v>1000</v>
      </c>
      <c r="Q39" s="1"/>
      <c r="R39" s="1" t="s">
        <v>64</v>
      </c>
      <c r="S39" s="1" t="s">
        <v>60</v>
      </c>
      <c r="T39" s="1" t="s">
        <v>224</v>
      </c>
      <c r="U39" s="1" t="s">
        <v>60</v>
      </c>
      <c r="V39" s="1" t="s">
        <v>373</v>
      </c>
      <c r="W39" s="1" t="s">
        <v>60</v>
      </c>
      <c r="X39" s="1" t="s">
        <v>225</v>
      </c>
      <c r="Y39" s="1" t="s">
        <v>523</v>
      </c>
      <c r="Z39" s="1" t="s">
        <v>85</v>
      </c>
      <c r="AA39" s="1"/>
      <c r="AB39" s="1"/>
    </row>
    <row r="40" spans="1:28" x14ac:dyDescent="0.25">
      <c r="A40" s="1" t="s">
        <v>249</v>
      </c>
      <c r="B40" s="1" t="s">
        <v>65</v>
      </c>
      <c r="C40" s="1" t="s">
        <v>104</v>
      </c>
      <c r="D40" s="1" t="s">
        <v>152</v>
      </c>
      <c r="E40" s="13"/>
      <c r="F40" s="11">
        <v>44565</v>
      </c>
      <c r="G40" s="11">
        <f t="shared" ca="1" si="0"/>
        <v>45786</v>
      </c>
      <c r="H40" s="27"/>
      <c r="I40" s="27">
        <f t="shared" ca="1" si="2"/>
        <v>3.3452054794520549</v>
      </c>
      <c r="J40" s="1" t="s">
        <v>60</v>
      </c>
      <c r="K40" s="1" t="s">
        <v>213</v>
      </c>
      <c r="L40" s="1" t="s">
        <v>153</v>
      </c>
      <c r="M40" s="1">
        <v>8</v>
      </c>
      <c r="N40" s="1">
        <v>256</v>
      </c>
      <c r="O40" s="1" t="s">
        <v>143</v>
      </c>
      <c r="P40" s="1" cm="1">
        <f t="array" ref="P40">IF(SUMPRODUCT(--ISNUMBER(FIND({"GbE";"Gigabit";"I219"}, O40)))&gt;0, 1000, 100)</f>
        <v>1000</v>
      </c>
      <c r="Q40" s="1"/>
      <c r="R40" s="1" t="s">
        <v>64</v>
      </c>
      <c r="S40" s="1" t="s">
        <v>60</v>
      </c>
      <c r="T40" s="1" t="s">
        <v>224</v>
      </c>
      <c r="U40" s="1" t="s">
        <v>60</v>
      </c>
      <c r="V40" s="1" t="s">
        <v>374</v>
      </c>
      <c r="W40" s="1" t="s">
        <v>60</v>
      </c>
      <c r="X40" s="1" t="s">
        <v>226</v>
      </c>
      <c r="Y40" s="1" t="s">
        <v>523</v>
      </c>
      <c r="Z40" s="1" t="s">
        <v>85</v>
      </c>
      <c r="AA40" s="1"/>
      <c r="AB40" s="1"/>
    </row>
    <row r="41" spans="1:28" x14ac:dyDescent="0.25">
      <c r="A41" s="1" t="s">
        <v>250</v>
      </c>
      <c r="B41" s="1" t="s">
        <v>65</v>
      </c>
      <c r="C41" s="1" t="s">
        <v>259</v>
      </c>
      <c r="D41" s="1" t="s">
        <v>227</v>
      </c>
      <c r="E41" s="13"/>
      <c r="F41" s="11">
        <v>41426</v>
      </c>
      <c r="G41" s="11">
        <f t="shared" ca="1" si="0"/>
        <v>45786</v>
      </c>
      <c r="H41" s="27"/>
      <c r="I41" s="27">
        <f t="shared" ca="1" si="2"/>
        <v>11.945205479452055</v>
      </c>
      <c r="J41" s="1" t="s">
        <v>60</v>
      </c>
      <c r="K41" s="1" t="s">
        <v>213</v>
      </c>
      <c r="L41" s="1" t="s">
        <v>223</v>
      </c>
      <c r="M41" s="1">
        <v>12</v>
      </c>
      <c r="N41" s="1">
        <v>120</v>
      </c>
      <c r="O41" s="1" t="s">
        <v>228</v>
      </c>
      <c r="P41" s="1" cm="1">
        <f t="array" ref="P41">IF(SUMPRODUCT(--ISNUMBER(FIND({"GbE";"Gigabit";"I219"}, O41)))&gt;0, 1000, 100)</f>
        <v>1000</v>
      </c>
      <c r="Q41" s="1"/>
      <c r="R41" s="1" t="s">
        <v>64</v>
      </c>
      <c r="S41" s="1" t="s">
        <v>60</v>
      </c>
      <c r="T41" s="1" t="s">
        <v>215</v>
      </c>
      <c r="U41" s="1" t="s">
        <v>60</v>
      </c>
      <c r="V41" s="1" t="s">
        <v>375</v>
      </c>
      <c r="W41" s="1" t="s">
        <v>60</v>
      </c>
      <c r="X41" s="1" t="s">
        <v>229</v>
      </c>
      <c r="Y41" s="1" t="s">
        <v>523</v>
      </c>
      <c r="Z41" s="1" t="s">
        <v>85</v>
      </c>
      <c r="AA41" s="1"/>
      <c r="AB41" s="1"/>
    </row>
    <row r="42" spans="1:28" x14ac:dyDescent="0.25">
      <c r="A42" s="1" t="s">
        <v>251</v>
      </c>
      <c r="B42" s="1" t="s">
        <v>65</v>
      </c>
      <c r="C42" s="1" t="s">
        <v>104</v>
      </c>
      <c r="D42" s="1" t="s">
        <v>152</v>
      </c>
      <c r="E42" s="13"/>
      <c r="F42" s="11">
        <v>44565</v>
      </c>
      <c r="G42" s="11">
        <f t="shared" ca="1" si="0"/>
        <v>45786</v>
      </c>
      <c r="H42" s="27"/>
      <c r="I42" s="27">
        <f t="shared" ca="1" si="2"/>
        <v>3.3452054794520549</v>
      </c>
      <c r="J42" s="1" t="s">
        <v>60</v>
      </c>
      <c r="K42" s="1" t="s">
        <v>213</v>
      </c>
      <c r="L42" s="1" t="s">
        <v>158</v>
      </c>
      <c r="M42" s="1">
        <v>8</v>
      </c>
      <c r="N42" s="1">
        <v>256</v>
      </c>
      <c r="O42" s="1" t="s">
        <v>143</v>
      </c>
      <c r="P42" s="1" cm="1">
        <f t="array" ref="P42">IF(SUMPRODUCT(--ISNUMBER(FIND({"GbE";"Gigabit";"I219"}, O42)))&gt;0, 1000, 100)</f>
        <v>1000</v>
      </c>
      <c r="Q42" s="1"/>
      <c r="R42" s="1" t="s">
        <v>84</v>
      </c>
      <c r="S42" s="1" t="s">
        <v>60</v>
      </c>
      <c r="T42" s="1" t="s">
        <v>224</v>
      </c>
      <c r="U42" s="1" t="s">
        <v>60</v>
      </c>
      <c r="V42" s="1" t="s">
        <v>376</v>
      </c>
      <c r="W42" s="1" t="s">
        <v>60</v>
      </c>
      <c r="X42" s="1" t="s">
        <v>230</v>
      </c>
      <c r="Y42" s="1" t="s">
        <v>523</v>
      </c>
      <c r="Z42" s="1" t="s">
        <v>85</v>
      </c>
      <c r="AA42" s="1"/>
      <c r="AB42" s="1"/>
    </row>
    <row r="43" spans="1:28" x14ac:dyDescent="0.25">
      <c r="A43" s="1" t="s">
        <v>252</v>
      </c>
      <c r="B43" s="1" t="s">
        <v>65</v>
      </c>
      <c r="C43" s="1" t="s">
        <v>125</v>
      </c>
      <c r="D43" s="1" t="s">
        <v>126</v>
      </c>
      <c r="E43" s="13"/>
      <c r="F43" s="11">
        <v>42025</v>
      </c>
      <c r="G43" s="11">
        <f t="shared" ca="1" si="0"/>
        <v>45786</v>
      </c>
      <c r="H43" s="27"/>
      <c r="I43" s="27">
        <f t="shared" ca="1" si="2"/>
        <v>10.304109589041095</v>
      </c>
      <c r="J43" s="1" t="s">
        <v>60</v>
      </c>
      <c r="K43" s="1" t="s">
        <v>213</v>
      </c>
      <c r="L43" s="1" t="s">
        <v>195</v>
      </c>
      <c r="M43" s="1">
        <v>8</v>
      </c>
      <c r="N43" s="1">
        <v>240</v>
      </c>
      <c r="O43" s="1" t="s">
        <v>143</v>
      </c>
      <c r="P43" s="1" cm="1">
        <f t="array" ref="P43">IF(SUMPRODUCT(--ISNUMBER(FIND({"GbE";"Gigabit";"I219"}, O43)))&gt;0, 1000, 100)</f>
        <v>1000</v>
      </c>
      <c r="Q43" s="1"/>
      <c r="R43" s="1" t="s">
        <v>64</v>
      </c>
      <c r="S43" s="1" t="s">
        <v>60</v>
      </c>
      <c r="T43" s="1" t="s">
        <v>224</v>
      </c>
      <c r="U43" s="1" t="s">
        <v>60</v>
      </c>
      <c r="V43" s="1" t="s">
        <v>377</v>
      </c>
      <c r="W43" s="1" t="s">
        <v>60</v>
      </c>
      <c r="X43" s="1" t="s">
        <v>231</v>
      </c>
      <c r="Y43" s="1" t="s">
        <v>523</v>
      </c>
      <c r="Z43" s="1" t="s">
        <v>85</v>
      </c>
      <c r="AA43" s="1"/>
      <c r="AB43" s="1"/>
    </row>
    <row r="44" spans="1:28" x14ac:dyDescent="0.25">
      <c r="A44" s="1" t="s">
        <v>253</v>
      </c>
      <c r="B44" s="1" t="s">
        <v>65</v>
      </c>
      <c r="C44" s="1" t="s">
        <v>107</v>
      </c>
      <c r="D44" s="1" t="s">
        <v>107</v>
      </c>
      <c r="E44" s="13"/>
      <c r="F44" s="11">
        <v>40552</v>
      </c>
      <c r="G44" s="11">
        <f t="shared" ca="1" si="0"/>
        <v>45786</v>
      </c>
      <c r="H44" s="27"/>
      <c r="I44" s="27">
        <f t="shared" ca="1" si="2"/>
        <v>14.33972602739726</v>
      </c>
      <c r="J44" s="1" t="s">
        <v>60</v>
      </c>
      <c r="K44" s="1" t="s">
        <v>213</v>
      </c>
      <c r="L44" s="1" t="s">
        <v>232</v>
      </c>
      <c r="M44" s="1">
        <v>12</v>
      </c>
      <c r="N44" s="1">
        <v>120</v>
      </c>
      <c r="O44" s="1" t="s">
        <v>143</v>
      </c>
      <c r="P44" s="1" cm="1">
        <f t="array" ref="P44">IF(SUMPRODUCT(--ISNUMBER(FIND({"GbE";"Gigabit";"I219"}, O44)))&gt;0, 1000, 100)</f>
        <v>1000</v>
      </c>
      <c r="Q44" s="1"/>
      <c r="R44" s="1" t="s">
        <v>64</v>
      </c>
      <c r="S44" s="1" t="s">
        <v>60</v>
      </c>
      <c r="T44" s="1" t="s">
        <v>215</v>
      </c>
      <c r="U44" s="1" t="s">
        <v>60</v>
      </c>
      <c r="V44" s="1" t="s">
        <v>378</v>
      </c>
      <c r="W44" s="1" t="s">
        <v>60</v>
      </c>
      <c r="X44" s="1" t="s">
        <v>233</v>
      </c>
      <c r="Y44" s="1" t="s">
        <v>523</v>
      </c>
      <c r="Z44" s="1" t="s">
        <v>85</v>
      </c>
      <c r="AA44" s="1"/>
      <c r="AB44" s="1"/>
    </row>
    <row r="45" spans="1:28" x14ac:dyDescent="0.25">
      <c r="A45" s="1" t="s">
        <v>254</v>
      </c>
      <c r="B45" s="1" t="s">
        <v>65</v>
      </c>
      <c r="C45" s="1" t="s">
        <v>169</v>
      </c>
      <c r="D45" s="1" t="s">
        <v>170</v>
      </c>
      <c r="E45" s="13"/>
      <c r="F45" s="11">
        <v>45299</v>
      </c>
      <c r="G45" s="11">
        <f t="shared" ca="1" si="0"/>
        <v>45786</v>
      </c>
      <c r="H45" s="27">
        <v>2200</v>
      </c>
      <c r="I45" s="27">
        <f t="shared" ca="1" si="2"/>
        <v>1.3342465753424657</v>
      </c>
      <c r="J45" s="1" t="s">
        <v>61</v>
      </c>
      <c r="K45" s="1" t="s">
        <v>213</v>
      </c>
      <c r="L45" s="1" t="s">
        <v>171</v>
      </c>
      <c r="M45" s="1">
        <v>16</v>
      </c>
      <c r="N45" s="1">
        <v>120</v>
      </c>
      <c r="O45" s="1" t="s">
        <v>234</v>
      </c>
      <c r="P45" s="1" cm="1">
        <f t="array" ref="P45">IF(SUMPRODUCT(--ISNUMBER(FIND({"GbE";"Gigabit";"I219"}, O45)))&gt;0, 1000, 100)</f>
        <v>100</v>
      </c>
      <c r="Q45" s="1"/>
      <c r="R45" s="1" t="s">
        <v>64</v>
      </c>
      <c r="S45" s="1" t="s">
        <v>60</v>
      </c>
      <c r="T45" s="1" t="s">
        <v>215</v>
      </c>
      <c r="U45" s="1" t="s">
        <v>60</v>
      </c>
      <c r="V45" s="1" t="s">
        <v>395</v>
      </c>
      <c r="W45" s="1" t="s">
        <v>60</v>
      </c>
      <c r="X45" s="1" t="s">
        <v>235</v>
      </c>
      <c r="Y45" s="1" t="s">
        <v>523</v>
      </c>
      <c r="Z45" s="1" t="s">
        <v>85</v>
      </c>
      <c r="AA45" s="1"/>
      <c r="AB45" s="1"/>
    </row>
    <row r="46" spans="1:28" x14ac:dyDescent="0.25">
      <c r="A46" s="1" t="s">
        <v>255</v>
      </c>
      <c r="B46" s="1" t="s">
        <v>65</v>
      </c>
      <c r="C46" s="1" t="s">
        <v>169</v>
      </c>
      <c r="D46" s="1" t="s">
        <v>170</v>
      </c>
      <c r="E46" s="13"/>
      <c r="F46" s="11">
        <v>45299</v>
      </c>
      <c r="G46" s="11">
        <f t="shared" ca="1" si="0"/>
        <v>45786</v>
      </c>
      <c r="H46" s="27">
        <v>2200</v>
      </c>
      <c r="I46" s="27">
        <f t="shared" ca="1" si="2"/>
        <v>1.3342465753424657</v>
      </c>
      <c r="J46" s="1" t="s">
        <v>61</v>
      </c>
      <c r="K46" s="1" t="s">
        <v>213</v>
      </c>
      <c r="L46" s="1" t="s">
        <v>171</v>
      </c>
      <c r="M46" s="1">
        <v>16</v>
      </c>
      <c r="N46" s="1">
        <v>240</v>
      </c>
      <c r="O46" s="1" t="s">
        <v>234</v>
      </c>
      <c r="P46" s="1" cm="1">
        <f t="array" ref="P46">IF(SUMPRODUCT(--ISNUMBER(FIND({"GbE";"Gigabit";"I219"}, O46)))&gt;0, 1000, 100)</f>
        <v>100</v>
      </c>
      <c r="Q46" s="1"/>
      <c r="R46" s="1" t="s">
        <v>64</v>
      </c>
      <c r="S46" s="1" t="s">
        <v>60</v>
      </c>
      <c r="T46" s="1" t="s">
        <v>215</v>
      </c>
      <c r="U46" s="1" t="s">
        <v>60</v>
      </c>
      <c r="V46" s="1" t="s">
        <v>396</v>
      </c>
      <c r="W46" s="1" t="s">
        <v>60</v>
      </c>
      <c r="X46" s="1" t="s">
        <v>236</v>
      </c>
      <c r="Y46" s="1" t="s">
        <v>523</v>
      </c>
      <c r="Z46" s="1" t="s">
        <v>85</v>
      </c>
      <c r="AA46" s="1"/>
      <c r="AB46" s="1"/>
    </row>
    <row r="47" spans="1:28" x14ac:dyDescent="0.25">
      <c r="A47" s="1" t="s">
        <v>256</v>
      </c>
      <c r="B47" s="1" t="s">
        <v>58</v>
      </c>
      <c r="C47" s="1" t="s">
        <v>59</v>
      </c>
      <c r="D47" s="1" t="s">
        <v>237</v>
      </c>
      <c r="E47" s="13"/>
      <c r="F47" s="11">
        <v>43576</v>
      </c>
      <c r="G47" s="11">
        <f t="shared" ca="1" si="0"/>
        <v>45786</v>
      </c>
      <c r="H47" s="27"/>
      <c r="I47" s="27">
        <f t="shared" ca="1" si="2"/>
        <v>6.0547945205479454</v>
      </c>
      <c r="J47" s="1" t="s">
        <v>60</v>
      </c>
      <c r="K47" s="1" t="s">
        <v>213</v>
      </c>
      <c r="L47" s="1" t="s">
        <v>238</v>
      </c>
      <c r="M47" s="1">
        <v>24</v>
      </c>
      <c r="N47" s="1">
        <v>240</v>
      </c>
      <c r="O47" s="1" t="s">
        <v>239</v>
      </c>
      <c r="P47" s="1" cm="1">
        <f t="array" ref="P47">IF(SUMPRODUCT(--ISNUMBER(FIND({"GbE";"Gigabit";"I219"}, O47)))&gt;0, 1000, 100)</f>
        <v>100</v>
      </c>
      <c r="Q47" s="1"/>
      <c r="R47" s="1" t="s">
        <v>84</v>
      </c>
      <c r="S47" s="1" t="s">
        <v>60</v>
      </c>
      <c r="T47" s="1" t="s">
        <v>218</v>
      </c>
      <c r="U47" s="1" t="s">
        <v>60</v>
      </c>
      <c r="V47" s="1" t="s">
        <v>379</v>
      </c>
      <c r="W47" s="1" t="s">
        <v>60</v>
      </c>
      <c r="X47" s="1" t="s">
        <v>240</v>
      </c>
      <c r="Y47" s="1" t="s">
        <v>523</v>
      </c>
      <c r="Z47" s="1" t="s">
        <v>85</v>
      </c>
      <c r="AA47" s="1"/>
      <c r="AB47" s="1"/>
    </row>
    <row r="48" spans="1:28" x14ac:dyDescent="0.25">
      <c r="A48" s="1" t="s">
        <v>257</v>
      </c>
      <c r="B48" s="1" t="s">
        <v>65</v>
      </c>
      <c r="C48" s="1" t="s">
        <v>241</v>
      </c>
      <c r="D48" s="1" t="s">
        <v>242</v>
      </c>
      <c r="E48" s="13"/>
      <c r="F48" s="11">
        <v>41426</v>
      </c>
      <c r="G48" s="11">
        <f t="shared" ca="1" si="0"/>
        <v>45786</v>
      </c>
      <c r="H48" s="27"/>
      <c r="I48" s="27">
        <f t="shared" ca="1" si="2"/>
        <v>11.945205479452055</v>
      </c>
      <c r="J48" s="1" t="s">
        <v>60</v>
      </c>
      <c r="K48" s="1" t="s">
        <v>213</v>
      </c>
      <c r="L48" s="1" t="s">
        <v>223</v>
      </c>
      <c r="M48" s="1">
        <v>12</v>
      </c>
      <c r="N48" s="1">
        <v>240</v>
      </c>
      <c r="O48" s="1" t="s">
        <v>143</v>
      </c>
      <c r="P48" s="1" cm="1">
        <f t="array" ref="P48">IF(SUMPRODUCT(--ISNUMBER(FIND({"GbE";"Gigabit";"I219"}, O48)))&gt;0, 1000, 100)</f>
        <v>1000</v>
      </c>
      <c r="Q48" s="1"/>
      <c r="R48" s="1" t="s">
        <v>64</v>
      </c>
      <c r="S48" s="1" t="s">
        <v>60</v>
      </c>
      <c r="T48" s="1" t="s">
        <v>218</v>
      </c>
      <c r="U48" s="1" t="s">
        <v>60</v>
      </c>
      <c r="V48" s="1" t="s">
        <v>397</v>
      </c>
      <c r="W48" s="1" t="s">
        <v>60</v>
      </c>
      <c r="X48" s="1" t="s">
        <v>243</v>
      </c>
      <c r="Y48" s="1" t="s">
        <v>523</v>
      </c>
      <c r="Z48" s="1" t="s">
        <v>85</v>
      </c>
      <c r="AA48" s="1"/>
      <c r="AB48" s="1"/>
    </row>
    <row r="49" spans="1:28" x14ac:dyDescent="0.25">
      <c r="A49" s="1" t="s">
        <v>258</v>
      </c>
      <c r="B49" s="1" t="s">
        <v>65</v>
      </c>
      <c r="C49" s="1" t="s">
        <v>104</v>
      </c>
      <c r="D49" s="1" t="s">
        <v>185</v>
      </c>
      <c r="E49" s="13"/>
      <c r="F49" s="11">
        <v>43951</v>
      </c>
      <c r="G49" s="11">
        <f t="shared" ca="1" si="0"/>
        <v>45786</v>
      </c>
      <c r="H49" s="27"/>
      <c r="I49" s="27">
        <f t="shared" ca="1" si="2"/>
        <v>5.0273972602739727</v>
      </c>
      <c r="J49" s="1" t="s">
        <v>60</v>
      </c>
      <c r="K49" s="1" t="s">
        <v>213</v>
      </c>
      <c r="L49" s="1" t="s">
        <v>128</v>
      </c>
      <c r="M49" s="1">
        <v>4</v>
      </c>
      <c r="N49" s="1">
        <v>120</v>
      </c>
      <c r="O49" s="1" t="s">
        <v>143</v>
      </c>
      <c r="P49" s="1" cm="1">
        <f t="array" ref="P49">IF(SUMPRODUCT(--ISNUMBER(FIND({"GbE";"Gigabit";"I219"}, O49)))&gt;0, 1000, 100)</f>
        <v>1000</v>
      </c>
      <c r="Q49" s="1"/>
      <c r="R49" s="1" t="s">
        <v>64</v>
      </c>
      <c r="S49" s="1" t="s">
        <v>60</v>
      </c>
      <c r="T49" s="1" t="s">
        <v>224</v>
      </c>
      <c r="U49" s="1" t="s">
        <v>60</v>
      </c>
      <c r="V49" s="1" t="s">
        <v>380</v>
      </c>
      <c r="W49" s="1" t="s">
        <v>60</v>
      </c>
      <c r="X49" s="1" t="s">
        <v>244</v>
      </c>
      <c r="Y49" s="1" t="s">
        <v>523</v>
      </c>
      <c r="Z49" s="1" t="s">
        <v>85</v>
      </c>
      <c r="AA49" s="1"/>
      <c r="AB49" s="1"/>
    </row>
    <row r="50" spans="1:28" x14ac:dyDescent="0.25">
      <c r="A50" s="1" t="s">
        <v>298</v>
      </c>
      <c r="B50" s="1" t="s">
        <v>65</v>
      </c>
      <c r="C50" s="1" t="s">
        <v>260</v>
      </c>
      <c r="D50" s="1" t="s">
        <v>170</v>
      </c>
      <c r="E50" s="12"/>
      <c r="F50" s="11">
        <v>45299</v>
      </c>
      <c r="G50" s="11">
        <f t="shared" ca="1" si="0"/>
        <v>45786</v>
      </c>
      <c r="H50" s="27">
        <v>2200</v>
      </c>
      <c r="I50" s="27">
        <f t="shared" ca="1" si="2"/>
        <v>1.3342465753424657</v>
      </c>
      <c r="J50" s="1" t="s">
        <v>61</v>
      </c>
      <c r="K50" s="1" t="s">
        <v>261</v>
      </c>
      <c r="L50" s="1" t="s">
        <v>171</v>
      </c>
      <c r="M50" s="1">
        <v>16</v>
      </c>
      <c r="N50" s="1">
        <v>120</v>
      </c>
      <c r="O50" s="1" t="s">
        <v>143</v>
      </c>
      <c r="P50" s="1" cm="1">
        <f t="array" ref="P50">IF(SUMPRODUCT(--ISNUMBER(FIND({"GbE";"Gigabit";"I219"}, O50)))&gt;0, 1000, 100)</f>
        <v>1000</v>
      </c>
      <c r="Q50" s="1"/>
      <c r="R50" s="1" t="s">
        <v>262</v>
      </c>
      <c r="S50" s="1" t="s">
        <v>60</v>
      </c>
      <c r="T50" s="1"/>
      <c r="U50" s="1" t="s">
        <v>60</v>
      </c>
      <c r="V50" s="1" t="s">
        <v>309</v>
      </c>
      <c r="W50" s="1" t="s">
        <v>60</v>
      </c>
      <c r="X50" s="1" t="s">
        <v>263</v>
      </c>
      <c r="Y50" s="1" t="s">
        <v>523</v>
      </c>
      <c r="Z50" s="1" t="s">
        <v>85</v>
      </c>
      <c r="AA50" s="1"/>
      <c r="AB50" s="1"/>
    </row>
    <row r="51" spans="1:28" x14ac:dyDescent="0.25">
      <c r="A51" s="1" t="s">
        <v>299</v>
      </c>
      <c r="B51" s="1" t="s">
        <v>65</v>
      </c>
      <c r="C51" s="1" t="s">
        <v>264</v>
      </c>
      <c r="D51" s="1" t="s">
        <v>265</v>
      </c>
      <c r="E51" s="13"/>
      <c r="F51" s="11">
        <v>41760</v>
      </c>
      <c r="G51" s="11">
        <f t="shared" ca="1" si="0"/>
        <v>45786</v>
      </c>
      <c r="H51" s="27"/>
      <c r="I51" s="27">
        <f t="shared" ca="1" si="2"/>
        <v>11.03013698630137</v>
      </c>
      <c r="J51" s="1" t="s">
        <v>60</v>
      </c>
      <c r="K51" s="1" t="s">
        <v>261</v>
      </c>
      <c r="L51" s="1" t="s">
        <v>266</v>
      </c>
      <c r="M51" s="1">
        <v>12</v>
      </c>
      <c r="N51" s="1">
        <v>240</v>
      </c>
      <c r="O51" s="1" t="s">
        <v>143</v>
      </c>
      <c r="P51" s="1" cm="1">
        <f t="array" ref="P51">IF(SUMPRODUCT(--ISNUMBER(FIND({"GbE";"Gigabit";"I219"}, O51)))&gt;0, 1000, 100)</f>
        <v>1000</v>
      </c>
      <c r="Q51" s="1"/>
      <c r="R51" s="1" t="s">
        <v>267</v>
      </c>
      <c r="S51" s="1" t="s">
        <v>60</v>
      </c>
      <c r="T51" s="1" t="s">
        <v>218</v>
      </c>
      <c r="U51" s="1" t="s">
        <v>60</v>
      </c>
      <c r="V51" s="1" t="s">
        <v>398</v>
      </c>
      <c r="W51" s="1" t="s">
        <v>60</v>
      </c>
      <c r="X51" s="1" t="s">
        <v>268</v>
      </c>
      <c r="Y51" s="1" t="s">
        <v>523</v>
      </c>
      <c r="Z51" s="1" t="s">
        <v>85</v>
      </c>
      <c r="AA51" s="1"/>
      <c r="AB51" s="1"/>
    </row>
    <row r="52" spans="1:28" x14ac:dyDescent="0.25">
      <c r="A52" s="1" t="s">
        <v>300</v>
      </c>
      <c r="B52" s="1" t="s">
        <v>65</v>
      </c>
      <c r="C52" s="1" t="s">
        <v>269</v>
      </c>
      <c r="D52" s="1" t="s">
        <v>270</v>
      </c>
      <c r="E52" s="13"/>
      <c r="F52" s="11">
        <v>42738</v>
      </c>
      <c r="G52" s="11">
        <f t="shared" ca="1" si="0"/>
        <v>45786</v>
      </c>
      <c r="H52" s="27"/>
      <c r="I52" s="27">
        <f t="shared" ca="1" si="2"/>
        <v>8.3506849315068497</v>
      </c>
      <c r="J52" s="1" t="s">
        <v>60</v>
      </c>
      <c r="K52" s="1" t="s">
        <v>261</v>
      </c>
      <c r="L52" s="1" t="s">
        <v>271</v>
      </c>
      <c r="M52" s="1">
        <v>8</v>
      </c>
      <c r="N52" s="1">
        <v>240</v>
      </c>
      <c r="O52" s="1" t="s">
        <v>272</v>
      </c>
      <c r="P52" s="1" cm="1">
        <f t="array" ref="P52">IF(SUMPRODUCT(--ISNUMBER(FIND({"GbE";"Gigabit";"I219"}, O52)))&gt;0, 1000, 100)</f>
        <v>1000</v>
      </c>
      <c r="Q52" s="1"/>
      <c r="R52" s="1" t="s">
        <v>262</v>
      </c>
      <c r="S52" s="1" t="s">
        <v>60</v>
      </c>
      <c r="T52" s="1" t="s">
        <v>218</v>
      </c>
      <c r="U52" s="1" t="s">
        <v>60</v>
      </c>
      <c r="V52" s="1" t="s">
        <v>310</v>
      </c>
      <c r="W52" s="1" t="s">
        <v>60</v>
      </c>
      <c r="X52" s="1" t="s">
        <v>273</v>
      </c>
      <c r="Y52" s="1" t="s">
        <v>523</v>
      </c>
      <c r="Z52" s="1" t="s">
        <v>85</v>
      </c>
      <c r="AA52" s="1"/>
      <c r="AB52" s="1"/>
    </row>
    <row r="53" spans="1:28" x14ac:dyDescent="0.25">
      <c r="A53" s="1" t="s">
        <v>301</v>
      </c>
      <c r="B53" s="1" t="s">
        <v>65</v>
      </c>
      <c r="C53" s="1" t="s">
        <v>260</v>
      </c>
      <c r="D53" s="1" t="s">
        <v>170</v>
      </c>
      <c r="E53" s="13"/>
      <c r="F53" s="11">
        <v>45299</v>
      </c>
      <c r="G53" s="11">
        <f t="shared" ca="1" si="0"/>
        <v>45786</v>
      </c>
      <c r="H53" s="27">
        <v>2200</v>
      </c>
      <c r="I53" s="27">
        <f t="shared" ca="1" si="2"/>
        <v>1.3342465753424657</v>
      </c>
      <c r="J53" s="1" t="s">
        <v>61</v>
      </c>
      <c r="K53" s="1" t="s">
        <v>261</v>
      </c>
      <c r="L53" s="1" t="s">
        <v>171</v>
      </c>
      <c r="M53" s="1">
        <v>16</v>
      </c>
      <c r="N53" s="1">
        <v>448</v>
      </c>
      <c r="O53" s="1" t="s">
        <v>143</v>
      </c>
      <c r="P53" s="1" cm="1">
        <f t="array" ref="P53">IF(SUMPRODUCT(--ISNUMBER(FIND({"GbE";"Gigabit";"I219"}, O53)))&gt;0, 1000, 100)</f>
        <v>1000</v>
      </c>
      <c r="Q53" s="1"/>
      <c r="R53" s="1" t="s">
        <v>262</v>
      </c>
      <c r="S53" s="1" t="s">
        <v>60</v>
      </c>
      <c r="T53" s="1" t="s">
        <v>218</v>
      </c>
      <c r="U53" s="1" t="s">
        <v>60</v>
      </c>
      <c r="V53" s="1" t="s">
        <v>311</v>
      </c>
      <c r="W53" s="1" t="s">
        <v>60</v>
      </c>
      <c r="X53" s="1" t="s">
        <v>274</v>
      </c>
      <c r="Y53" s="1" t="s">
        <v>523</v>
      </c>
      <c r="Z53" s="1" t="s">
        <v>85</v>
      </c>
      <c r="AA53" s="1"/>
      <c r="AB53" s="1"/>
    </row>
    <row r="54" spans="1:28" x14ac:dyDescent="0.25">
      <c r="A54" s="1" t="s">
        <v>302</v>
      </c>
      <c r="B54" s="1" t="s">
        <v>65</v>
      </c>
      <c r="C54" s="1" t="s">
        <v>275</v>
      </c>
      <c r="D54" s="1" t="s">
        <v>276</v>
      </c>
      <c r="E54" s="13"/>
      <c r="F54" s="11">
        <v>43653</v>
      </c>
      <c r="G54" s="11">
        <f t="shared" ca="1" si="0"/>
        <v>45786</v>
      </c>
      <c r="H54" s="27"/>
      <c r="I54" s="27">
        <f t="shared" ca="1" si="2"/>
        <v>5.8438356164383558</v>
      </c>
      <c r="J54" s="1" t="s">
        <v>60</v>
      </c>
      <c r="K54" s="1" t="s">
        <v>261</v>
      </c>
      <c r="L54" s="1" t="s">
        <v>277</v>
      </c>
      <c r="M54" s="1">
        <v>6</v>
      </c>
      <c r="N54" s="1">
        <v>120</v>
      </c>
      <c r="O54" s="1" t="s">
        <v>143</v>
      </c>
      <c r="P54" s="1" cm="1">
        <f t="array" ref="P54">IF(SUMPRODUCT(--ISNUMBER(FIND({"GbE";"Gigabit";"I219"}, O54)))&gt;0, 1000, 100)</f>
        <v>1000</v>
      </c>
      <c r="Q54" s="1"/>
      <c r="R54" s="1" t="s">
        <v>262</v>
      </c>
      <c r="S54" s="1" t="s">
        <v>60</v>
      </c>
      <c r="T54" s="1" t="s">
        <v>224</v>
      </c>
      <c r="U54" s="1" t="s">
        <v>60</v>
      </c>
      <c r="V54" s="1" t="s">
        <v>312</v>
      </c>
      <c r="W54" s="1" t="s">
        <v>60</v>
      </c>
      <c r="X54" s="1" t="s">
        <v>278</v>
      </c>
      <c r="Y54" s="1" t="s">
        <v>523</v>
      </c>
      <c r="Z54" s="1" t="s">
        <v>85</v>
      </c>
      <c r="AA54" s="1"/>
      <c r="AB54" s="1"/>
    </row>
    <row r="55" spans="1:28" x14ac:dyDescent="0.25">
      <c r="A55" s="1" t="s">
        <v>303</v>
      </c>
      <c r="B55" s="1" t="s">
        <v>65</v>
      </c>
      <c r="C55" s="1" t="s">
        <v>241</v>
      </c>
      <c r="D55" s="1" t="s">
        <v>242</v>
      </c>
      <c r="E55" s="13"/>
      <c r="F55" s="11">
        <v>41426</v>
      </c>
      <c r="G55" s="11">
        <f t="shared" ca="1" si="0"/>
        <v>45786</v>
      </c>
      <c r="H55" s="27"/>
      <c r="I55" s="27">
        <f t="shared" ca="1" si="2"/>
        <v>11.945205479452055</v>
      </c>
      <c r="J55" s="1" t="s">
        <v>60</v>
      </c>
      <c r="K55" s="1" t="s">
        <v>261</v>
      </c>
      <c r="L55" s="1" t="s">
        <v>223</v>
      </c>
      <c r="M55" s="1">
        <v>8</v>
      </c>
      <c r="N55" s="1">
        <v>450</v>
      </c>
      <c r="O55" s="1" t="s">
        <v>143</v>
      </c>
      <c r="P55" s="1" cm="1">
        <f t="array" ref="P55">IF(SUMPRODUCT(--ISNUMBER(FIND({"GbE";"Gigabit";"I219"}, O55)))&gt;0, 1000, 100)</f>
        <v>1000</v>
      </c>
      <c r="Q55" s="1"/>
      <c r="R55" s="1" t="s">
        <v>262</v>
      </c>
      <c r="S55" s="1" t="s">
        <v>60</v>
      </c>
      <c r="T55" s="1" t="s">
        <v>224</v>
      </c>
      <c r="U55" s="1" t="s">
        <v>60</v>
      </c>
      <c r="V55" s="1" t="s">
        <v>313</v>
      </c>
      <c r="W55" s="1" t="s">
        <v>60</v>
      </c>
      <c r="X55" s="1" t="s">
        <v>279</v>
      </c>
      <c r="Y55" s="1" t="s">
        <v>523</v>
      </c>
      <c r="Z55" s="1" t="s">
        <v>85</v>
      </c>
      <c r="AA55" s="1"/>
      <c r="AB55" s="1"/>
    </row>
    <row r="56" spans="1:28" x14ac:dyDescent="0.25">
      <c r="A56" s="1" t="s">
        <v>304</v>
      </c>
      <c r="B56" s="1" t="s">
        <v>65</v>
      </c>
      <c r="C56" s="1" t="s">
        <v>280</v>
      </c>
      <c r="D56" s="1" t="s">
        <v>281</v>
      </c>
      <c r="E56" s="13"/>
      <c r="F56" s="11">
        <v>41426</v>
      </c>
      <c r="G56" s="11">
        <f t="shared" ca="1" si="0"/>
        <v>45786</v>
      </c>
      <c r="H56" s="27"/>
      <c r="I56" s="27">
        <f t="shared" ca="1" si="2"/>
        <v>11.945205479452055</v>
      </c>
      <c r="J56" s="1" t="s">
        <v>60</v>
      </c>
      <c r="K56" s="1" t="s">
        <v>261</v>
      </c>
      <c r="L56" s="1" t="s">
        <v>223</v>
      </c>
      <c r="M56" s="1">
        <v>12</v>
      </c>
      <c r="N56" s="1">
        <v>240</v>
      </c>
      <c r="O56" s="1" t="s">
        <v>143</v>
      </c>
      <c r="P56" s="1" cm="1">
        <f t="array" ref="P56">IF(SUMPRODUCT(--ISNUMBER(FIND({"GbE";"Gigabit";"I219"}, O56)))&gt;0, 1000, 100)</f>
        <v>1000</v>
      </c>
      <c r="Q56" s="1"/>
      <c r="R56" s="1" t="s">
        <v>262</v>
      </c>
      <c r="S56" s="1" t="s">
        <v>60</v>
      </c>
      <c r="T56" s="1" t="s">
        <v>224</v>
      </c>
      <c r="U56" s="1" t="s">
        <v>60</v>
      </c>
      <c r="V56" s="1" t="s">
        <v>314</v>
      </c>
      <c r="W56" s="1" t="s">
        <v>60</v>
      </c>
      <c r="X56" s="1" t="s">
        <v>282</v>
      </c>
      <c r="Y56" s="1" t="s">
        <v>523</v>
      </c>
      <c r="Z56" s="1" t="s">
        <v>85</v>
      </c>
      <c r="AA56" s="1"/>
      <c r="AB56" s="1"/>
    </row>
    <row r="57" spans="1:28" x14ac:dyDescent="0.25">
      <c r="A57" s="1" t="s">
        <v>305</v>
      </c>
      <c r="B57" s="1" t="s">
        <v>65</v>
      </c>
      <c r="C57" s="1" t="s">
        <v>269</v>
      </c>
      <c r="D57" s="1" t="s">
        <v>283</v>
      </c>
      <c r="E57" s="13"/>
      <c r="F57" s="11">
        <v>44565</v>
      </c>
      <c r="G57" s="11">
        <f t="shared" ca="1" si="0"/>
        <v>45786</v>
      </c>
      <c r="H57" s="27"/>
      <c r="I57" s="27">
        <f t="shared" ca="1" si="2"/>
        <v>3.3452054794520549</v>
      </c>
      <c r="J57" s="1" t="s">
        <v>60</v>
      </c>
      <c r="K57" s="1" t="s">
        <v>261</v>
      </c>
      <c r="L57" s="1" t="s">
        <v>284</v>
      </c>
      <c r="M57" s="1">
        <v>8</v>
      </c>
      <c r="N57" s="1">
        <v>240</v>
      </c>
      <c r="O57" s="1" t="s">
        <v>285</v>
      </c>
      <c r="P57" s="1" cm="1">
        <f t="array" ref="P57">IF(SUMPRODUCT(--ISNUMBER(FIND({"GbE";"Gigabit";"I219"}, O57)))&gt;0, 1000, 100)</f>
        <v>1000</v>
      </c>
      <c r="Q57" s="1"/>
      <c r="R57" s="1" t="s">
        <v>267</v>
      </c>
      <c r="S57" s="1" t="s">
        <v>60</v>
      </c>
      <c r="T57" s="1" t="s">
        <v>286</v>
      </c>
      <c r="U57" s="1" t="s">
        <v>60</v>
      </c>
      <c r="V57" s="1" t="s">
        <v>315</v>
      </c>
      <c r="W57" s="1" t="s">
        <v>60</v>
      </c>
      <c r="X57" s="1" t="s">
        <v>287</v>
      </c>
      <c r="Y57" s="1" t="s">
        <v>523</v>
      </c>
      <c r="Z57" s="1" t="s">
        <v>85</v>
      </c>
      <c r="AA57" s="1"/>
      <c r="AB57" s="1"/>
    </row>
    <row r="58" spans="1:28" x14ac:dyDescent="0.25">
      <c r="A58" s="1" t="s">
        <v>306</v>
      </c>
      <c r="B58" s="1" t="s">
        <v>65</v>
      </c>
      <c r="C58" s="1" t="s">
        <v>241</v>
      </c>
      <c r="D58" s="1" t="s">
        <v>242</v>
      </c>
      <c r="E58" s="13"/>
      <c r="F58" s="11">
        <v>42738</v>
      </c>
      <c r="G58" s="11">
        <f t="shared" ca="1" si="0"/>
        <v>45786</v>
      </c>
      <c r="H58" s="27"/>
      <c r="I58" s="27">
        <f t="shared" ca="1" si="2"/>
        <v>8.3506849315068497</v>
      </c>
      <c r="J58" s="1" t="s">
        <v>60</v>
      </c>
      <c r="K58" s="1" t="s">
        <v>261</v>
      </c>
      <c r="L58" s="1" t="s">
        <v>288</v>
      </c>
      <c r="M58" s="1">
        <v>16</v>
      </c>
      <c r="N58" s="1">
        <v>448</v>
      </c>
      <c r="O58" s="1" t="s">
        <v>143</v>
      </c>
      <c r="P58" s="1" cm="1">
        <f t="array" ref="P58">IF(SUMPRODUCT(--ISNUMBER(FIND({"GbE";"Gigabit";"I219"}, O58)))&gt;0, 1000, 100)</f>
        <v>1000</v>
      </c>
      <c r="Q58" s="1"/>
      <c r="R58" s="1" t="s">
        <v>262</v>
      </c>
      <c r="S58" s="1" t="s">
        <v>60</v>
      </c>
      <c r="T58" s="1" t="s">
        <v>224</v>
      </c>
      <c r="U58" s="1" t="s">
        <v>60</v>
      </c>
      <c r="V58" s="1" t="s">
        <v>316</v>
      </c>
      <c r="W58" s="1" t="s">
        <v>60</v>
      </c>
      <c r="X58" s="1" t="s">
        <v>289</v>
      </c>
      <c r="Y58" s="1" t="s">
        <v>523</v>
      </c>
      <c r="Z58" s="1" t="s">
        <v>85</v>
      </c>
      <c r="AA58" s="1"/>
      <c r="AB58" s="1"/>
    </row>
    <row r="59" spans="1:28" x14ac:dyDescent="0.25">
      <c r="A59" s="1" t="s">
        <v>307</v>
      </c>
      <c r="B59" s="1" t="s">
        <v>65</v>
      </c>
      <c r="C59" s="1" t="s">
        <v>290</v>
      </c>
      <c r="D59" s="1" t="s">
        <v>291</v>
      </c>
      <c r="E59" s="13"/>
      <c r="F59" s="11">
        <v>44076</v>
      </c>
      <c r="G59" s="11">
        <f t="shared" ca="1" si="0"/>
        <v>45786</v>
      </c>
      <c r="H59" s="27"/>
      <c r="I59" s="27">
        <f t="shared" ca="1" si="2"/>
        <v>4.6849315068493151</v>
      </c>
      <c r="J59" s="1" t="s">
        <v>60</v>
      </c>
      <c r="K59" s="1" t="s">
        <v>261</v>
      </c>
      <c r="L59" s="1" t="s">
        <v>292</v>
      </c>
      <c r="M59" s="1">
        <v>8</v>
      </c>
      <c r="N59" s="1">
        <v>240</v>
      </c>
      <c r="O59" s="1" t="s">
        <v>293</v>
      </c>
      <c r="P59" s="1" cm="1">
        <f t="array" ref="P59">IF(SUMPRODUCT(--ISNUMBER(FIND({"GbE";"Gigabit";"I219"}, O59)))&gt;0, 1000, 100)</f>
        <v>100</v>
      </c>
      <c r="Q59" s="1"/>
      <c r="R59" s="1" t="s">
        <v>267</v>
      </c>
      <c r="S59" s="1" t="s">
        <v>60</v>
      </c>
      <c r="T59" s="1" t="s">
        <v>224</v>
      </c>
      <c r="U59" s="1" t="s">
        <v>60</v>
      </c>
      <c r="V59" s="1" t="s">
        <v>317</v>
      </c>
      <c r="W59" s="1" t="s">
        <v>60</v>
      </c>
      <c r="X59" s="1" t="s">
        <v>294</v>
      </c>
      <c r="Y59" s="1" t="s">
        <v>523</v>
      </c>
      <c r="Z59" s="1" t="s">
        <v>85</v>
      </c>
      <c r="AA59" s="1"/>
      <c r="AB59" s="1"/>
    </row>
    <row r="60" spans="1:28" x14ac:dyDescent="0.25">
      <c r="A60" s="1" t="s">
        <v>308</v>
      </c>
      <c r="B60" s="1" t="s">
        <v>65</v>
      </c>
      <c r="C60" s="1" t="s">
        <v>295</v>
      </c>
      <c r="D60" s="1" t="s">
        <v>190</v>
      </c>
      <c r="E60" s="13"/>
      <c r="F60" s="11">
        <v>42025</v>
      </c>
      <c r="G60" s="11">
        <f t="shared" ca="1" si="0"/>
        <v>45786</v>
      </c>
      <c r="H60" s="27"/>
      <c r="I60" s="27">
        <f t="shared" ca="1" si="2"/>
        <v>10.304109589041095</v>
      </c>
      <c r="J60" s="1" t="s">
        <v>60</v>
      </c>
      <c r="K60" s="1" t="s">
        <v>261</v>
      </c>
      <c r="L60" s="1" t="s">
        <v>296</v>
      </c>
      <c r="M60" s="1">
        <v>8</v>
      </c>
      <c r="N60" s="1">
        <v>120</v>
      </c>
      <c r="O60" s="1" t="s">
        <v>143</v>
      </c>
      <c r="P60" s="1" cm="1">
        <f t="array" ref="P60">IF(SUMPRODUCT(--ISNUMBER(FIND({"GbE";"Gigabit";"I219"}, O60)))&gt;0, 1000, 100)</f>
        <v>1000</v>
      </c>
      <c r="Q60" s="1"/>
      <c r="R60" s="1" t="s">
        <v>262</v>
      </c>
      <c r="S60" s="1" t="s">
        <v>60</v>
      </c>
      <c r="T60" s="1" t="s">
        <v>215</v>
      </c>
      <c r="U60" s="1" t="s">
        <v>60</v>
      </c>
      <c r="V60" s="1" t="s">
        <v>318</v>
      </c>
      <c r="W60" s="1" t="s">
        <v>60</v>
      </c>
      <c r="X60" s="1" t="s">
        <v>297</v>
      </c>
      <c r="Y60" s="1" t="s">
        <v>523</v>
      </c>
      <c r="Z60" s="1" t="s">
        <v>85</v>
      </c>
      <c r="AA60" s="1"/>
      <c r="AB60" s="1"/>
    </row>
    <row r="61" spans="1:28" x14ac:dyDescent="0.25">
      <c r="A61" s="1" t="s">
        <v>327</v>
      </c>
      <c r="B61" s="1" t="s">
        <v>65</v>
      </c>
      <c r="C61" s="1" t="s">
        <v>59</v>
      </c>
      <c r="D61" s="1" t="s">
        <v>319</v>
      </c>
      <c r="E61" s="13"/>
      <c r="F61" s="11">
        <v>44327</v>
      </c>
      <c r="G61" s="11">
        <f t="shared" ca="1" si="0"/>
        <v>45786</v>
      </c>
      <c r="H61" s="27"/>
      <c r="I61" s="27">
        <f t="shared" ca="1" si="2"/>
        <v>3.9972602739726026</v>
      </c>
      <c r="J61" s="1" t="s">
        <v>60</v>
      </c>
      <c r="K61" s="1" t="s">
        <v>261</v>
      </c>
      <c r="L61" s="1" t="s">
        <v>320</v>
      </c>
      <c r="M61" s="1">
        <v>16</v>
      </c>
      <c r="N61" s="1">
        <v>240</v>
      </c>
      <c r="O61" s="1" t="s">
        <v>139</v>
      </c>
      <c r="P61" s="1" cm="1">
        <f t="array" ref="P61">IF(SUMPRODUCT(--ISNUMBER(FIND({"GbE";"Gigabit";"I219"}, O61)))&gt;0, 1000, 100)</f>
        <v>1000</v>
      </c>
      <c r="Q61" s="1"/>
      <c r="R61" s="1" t="s">
        <v>267</v>
      </c>
      <c r="S61" s="1" t="s">
        <v>60</v>
      </c>
      <c r="T61" s="1" t="s">
        <v>218</v>
      </c>
      <c r="U61" s="1" t="s">
        <v>60</v>
      </c>
      <c r="V61" s="1" t="s">
        <v>321</v>
      </c>
      <c r="W61" s="1" t="s">
        <v>60</v>
      </c>
      <c r="X61" s="1" t="s">
        <v>322</v>
      </c>
      <c r="Y61" s="1" t="s">
        <v>523</v>
      </c>
      <c r="Z61" s="1" t="s">
        <v>85</v>
      </c>
      <c r="AA61" s="1"/>
      <c r="AB61" s="1"/>
    </row>
    <row r="62" spans="1:28" x14ac:dyDescent="0.25">
      <c r="A62" s="1" t="s">
        <v>328</v>
      </c>
      <c r="B62" s="1" t="s">
        <v>65</v>
      </c>
      <c r="C62" s="1" t="s">
        <v>323</v>
      </c>
      <c r="D62" s="1" t="s">
        <v>323</v>
      </c>
      <c r="E62" s="13"/>
      <c r="F62" s="11">
        <v>40594</v>
      </c>
      <c r="G62" s="11">
        <f t="shared" ca="1" si="0"/>
        <v>45786</v>
      </c>
      <c r="H62" s="27"/>
      <c r="I62" s="27">
        <f t="shared" ca="1" si="2"/>
        <v>14.224657534246575</v>
      </c>
      <c r="J62" s="1" t="s">
        <v>60</v>
      </c>
      <c r="K62" s="1" t="s">
        <v>261</v>
      </c>
      <c r="L62" s="1" t="s">
        <v>324</v>
      </c>
      <c r="M62" s="1">
        <v>16</v>
      </c>
      <c r="N62" s="1">
        <v>240</v>
      </c>
      <c r="O62" s="1" t="s">
        <v>143</v>
      </c>
      <c r="P62" s="1" cm="1">
        <f t="array" ref="P62">IF(SUMPRODUCT(--ISNUMBER(FIND({"GbE";"Gigabit";"I219"}, O62)))&gt;0, 1000, 100)</f>
        <v>1000</v>
      </c>
      <c r="Q62" s="1"/>
      <c r="R62" s="1" t="s">
        <v>267</v>
      </c>
      <c r="S62" s="1" t="s">
        <v>60</v>
      </c>
      <c r="T62" s="1" t="s">
        <v>218</v>
      </c>
      <c r="U62" s="1" t="s">
        <v>60</v>
      </c>
      <c r="V62" s="1" t="s">
        <v>325</v>
      </c>
      <c r="W62" s="1" t="s">
        <v>60</v>
      </c>
      <c r="X62" s="1" t="s">
        <v>326</v>
      </c>
      <c r="Y62" s="1" t="s">
        <v>523</v>
      </c>
      <c r="Z62" s="1" t="s">
        <v>85</v>
      </c>
      <c r="AA62" s="1"/>
      <c r="AB62" s="1"/>
    </row>
    <row r="63" spans="1:28" x14ac:dyDescent="0.25">
      <c r="A63" s="1" t="s">
        <v>336</v>
      </c>
      <c r="B63" s="1" t="s">
        <v>329</v>
      </c>
      <c r="C63" s="1" t="s">
        <v>146</v>
      </c>
      <c r="D63" s="1" t="s">
        <v>337</v>
      </c>
      <c r="E63" s="14"/>
      <c r="F63" s="11">
        <v>42541</v>
      </c>
      <c r="G63" s="11">
        <f t="shared" ca="1" si="0"/>
        <v>45786</v>
      </c>
      <c r="H63" s="27"/>
      <c r="I63" s="27">
        <f t="shared" ca="1" si="2"/>
        <v>8.8904109589041092</v>
      </c>
      <c r="J63" s="1" t="s">
        <v>60</v>
      </c>
      <c r="K63" s="1" t="s">
        <v>329</v>
      </c>
      <c r="L63" s="1" t="s">
        <v>338</v>
      </c>
      <c r="M63" s="1">
        <v>128</v>
      </c>
      <c r="N63" s="1">
        <v>448</v>
      </c>
      <c r="O63" s="1" t="s">
        <v>339</v>
      </c>
      <c r="P63" s="1" cm="1">
        <f t="array" ref="P63">IF(SUMPRODUCT(--ISNUMBER(FIND({"GbE";"Gigabit";"I219"}, O63)))&gt;0, 1000, 100)</f>
        <v>1000</v>
      </c>
      <c r="Q63" s="1"/>
      <c r="R63" s="1" t="s">
        <v>340</v>
      </c>
      <c r="S63" s="1" t="s">
        <v>60</v>
      </c>
      <c r="T63" s="1" t="s">
        <v>60</v>
      </c>
      <c r="U63" s="1" t="s">
        <v>60</v>
      </c>
      <c r="V63" s="1" t="s">
        <v>341</v>
      </c>
      <c r="W63" s="1" t="s">
        <v>60</v>
      </c>
      <c r="X63" s="1" t="s">
        <v>564</v>
      </c>
      <c r="Y63" s="1" t="s">
        <v>523</v>
      </c>
      <c r="Z63" s="1" t="s">
        <v>85</v>
      </c>
      <c r="AA63" s="1"/>
      <c r="AB63" s="1"/>
    </row>
    <row r="64" spans="1:28" x14ac:dyDescent="0.25">
      <c r="A64" s="1" t="s">
        <v>342</v>
      </c>
      <c r="B64" s="1" t="s">
        <v>329</v>
      </c>
      <c r="C64" s="1" t="s">
        <v>104</v>
      </c>
      <c r="D64" s="1" t="s">
        <v>343</v>
      </c>
      <c r="E64" s="13"/>
      <c r="F64" s="11">
        <v>40253</v>
      </c>
      <c r="G64" s="11">
        <f t="shared" ca="1" si="0"/>
        <v>45786</v>
      </c>
      <c r="H64" s="27"/>
      <c r="I64" s="27">
        <f t="shared" ca="1" si="2"/>
        <v>15.158904109589042</v>
      </c>
      <c r="J64" s="1" t="s">
        <v>60</v>
      </c>
      <c r="K64" s="1" t="s">
        <v>329</v>
      </c>
      <c r="L64" s="1" t="s">
        <v>344</v>
      </c>
      <c r="M64" s="1">
        <v>32</v>
      </c>
      <c r="N64" s="1">
        <v>120</v>
      </c>
      <c r="O64" s="1" t="s">
        <v>345</v>
      </c>
      <c r="P64" s="1" cm="1">
        <f t="array" ref="P64">IF(SUMPRODUCT(--ISNUMBER(FIND({"GbE";"Gigabit";"I219"}, O64)))&gt;0, 1000, 100)</f>
        <v>1000</v>
      </c>
      <c r="Q64" s="1"/>
      <c r="R64" s="1" t="s">
        <v>346</v>
      </c>
      <c r="S64" s="1" t="s">
        <v>60</v>
      </c>
      <c r="T64" s="1" t="s">
        <v>60</v>
      </c>
      <c r="U64" s="1" t="s">
        <v>60</v>
      </c>
      <c r="V64" s="1" t="s">
        <v>347</v>
      </c>
      <c r="W64" s="1" t="s">
        <v>60</v>
      </c>
      <c r="X64" s="1" t="s">
        <v>563</v>
      </c>
      <c r="Y64" s="1" t="s">
        <v>523</v>
      </c>
      <c r="Z64" s="1" t="s">
        <v>85</v>
      </c>
      <c r="AA64" s="1"/>
      <c r="AB64" s="1"/>
    </row>
    <row r="65" spans="1:28" x14ac:dyDescent="0.25">
      <c r="A65" s="1" t="s">
        <v>348</v>
      </c>
      <c r="B65" s="1" t="s">
        <v>329</v>
      </c>
      <c r="C65" s="1" t="s">
        <v>104</v>
      </c>
      <c r="D65" s="1" t="s">
        <v>343</v>
      </c>
      <c r="E65" s="13"/>
      <c r="F65" s="11">
        <v>40253</v>
      </c>
      <c r="G65" s="11">
        <f t="shared" ca="1" si="0"/>
        <v>45786</v>
      </c>
      <c r="H65" s="27"/>
      <c r="I65" s="27">
        <f t="shared" ca="1" si="2"/>
        <v>15.158904109589042</v>
      </c>
      <c r="J65" s="1" t="s">
        <v>60</v>
      </c>
      <c r="K65" s="1" t="s">
        <v>329</v>
      </c>
      <c r="L65" s="1" t="s">
        <v>344</v>
      </c>
      <c r="M65" s="1">
        <v>32</v>
      </c>
      <c r="N65" s="1">
        <v>120</v>
      </c>
      <c r="O65" s="1" t="s">
        <v>345</v>
      </c>
      <c r="P65" s="1" cm="1">
        <f t="array" ref="P65">IF(SUMPRODUCT(--ISNUMBER(FIND({"GbE";"Gigabit";"I219"}, O65)))&gt;0, 1000, 100)</f>
        <v>1000</v>
      </c>
      <c r="Q65" s="1"/>
      <c r="R65" s="1" t="s">
        <v>346</v>
      </c>
      <c r="S65" s="1" t="s">
        <v>60</v>
      </c>
      <c r="T65" s="1" t="s">
        <v>60</v>
      </c>
      <c r="U65" s="1" t="s">
        <v>60</v>
      </c>
      <c r="V65" s="1" t="s">
        <v>349</v>
      </c>
      <c r="W65" s="1" t="s">
        <v>60</v>
      </c>
      <c r="X65" s="1" t="s">
        <v>563</v>
      </c>
      <c r="Y65" s="1" t="s">
        <v>523</v>
      </c>
      <c r="Z65" s="1" t="s">
        <v>85</v>
      </c>
      <c r="AA65" s="1"/>
      <c r="AB65" s="1"/>
    </row>
    <row r="66" spans="1:28" x14ac:dyDescent="0.25">
      <c r="A66" s="1" t="s">
        <v>436</v>
      </c>
      <c r="B66" s="1" t="s">
        <v>329</v>
      </c>
      <c r="C66" s="1" t="s">
        <v>107</v>
      </c>
      <c r="D66" s="1" t="s">
        <v>107</v>
      </c>
      <c r="E66" s="13"/>
      <c r="F66" s="11">
        <v>42248</v>
      </c>
      <c r="G66" s="11">
        <f t="shared" ca="1" si="0"/>
        <v>45786</v>
      </c>
      <c r="H66" s="27"/>
      <c r="I66" s="27">
        <f t="shared" ref="I66:I103" ca="1" si="3">(G66-F66)/365</f>
        <v>9.6931506849315063</v>
      </c>
      <c r="J66" s="1" t="s">
        <v>60</v>
      </c>
      <c r="K66" s="1" t="s">
        <v>329</v>
      </c>
      <c r="L66" s="1" t="s">
        <v>461</v>
      </c>
      <c r="M66" s="1">
        <v>8</v>
      </c>
      <c r="N66" s="1">
        <v>940</v>
      </c>
      <c r="O66" s="1" t="s">
        <v>143</v>
      </c>
      <c r="P66" s="1" cm="1">
        <f t="array" ref="P66">IF(SUMPRODUCT(--ISNUMBER(FIND({"GbE";"Gigabit";"I219"}, O66)))&gt;0, 1000, 100)</f>
        <v>1000</v>
      </c>
      <c r="Q66" s="1"/>
      <c r="R66" s="1" t="s">
        <v>262</v>
      </c>
      <c r="S66" s="1" t="s">
        <v>60</v>
      </c>
      <c r="T66" s="1" t="s">
        <v>60</v>
      </c>
      <c r="U66" s="1" t="s">
        <v>60</v>
      </c>
      <c r="V66" s="1" t="s">
        <v>566</v>
      </c>
      <c r="W66" s="1" t="s">
        <v>60</v>
      </c>
      <c r="X66" s="1" t="s">
        <v>567</v>
      </c>
      <c r="Y66" s="1" t="s">
        <v>523</v>
      </c>
      <c r="Z66" s="1" t="s">
        <v>85</v>
      </c>
      <c r="AA66" s="1"/>
      <c r="AB66" s="1"/>
    </row>
    <row r="67" spans="1:28" x14ac:dyDescent="0.25">
      <c r="A67" s="1" t="s">
        <v>437</v>
      </c>
      <c r="B67" s="1" t="s">
        <v>329</v>
      </c>
      <c r="C67" s="1" t="s">
        <v>107</v>
      </c>
      <c r="D67" s="1" t="s">
        <v>107</v>
      </c>
      <c r="E67" s="13"/>
      <c r="F67" s="11">
        <v>42248</v>
      </c>
      <c r="G67" s="11">
        <f t="shared" ref="G67:G73" ca="1" si="4">TODAY()</f>
        <v>45786</v>
      </c>
      <c r="H67" s="27"/>
      <c r="I67" s="27">
        <f t="shared" ca="1" si="3"/>
        <v>9.6931506849315063</v>
      </c>
      <c r="J67" s="1" t="s">
        <v>60</v>
      </c>
      <c r="K67" s="1" t="s">
        <v>329</v>
      </c>
      <c r="L67" s="1" t="s">
        <v>223</v>
      </c>
      <c r="M67" s="1">
        <v>8</v>
      </c>
      <c r="N67" s="1">
        <v>940</v>
      </c>
      <c r="O67" s="1" t="s">
        <v>143</v>
      </c>
      <c r="P67" s="1">
        <v>1000</v>
      </c>
      <c r="Q67" s="1"/>
      <c r="R67" s="1" t="s">
        <v>262</v>
      </c>
      <c r="S67" s="1" t="s">
        <v>60</v>
      </c>
      <c r="T67" s="1" t="s">
        <v>60</v>
      </c>
      <c r="U67" s="1" t="s">
        <v>60</v>
      </c>
      <c r="V67" s="1"/>
      <c r="W67" s="1" t="s">
        <v>60</v>
      </c>
      <c r="X67" s="1" t="s">
        <v>568</v>
      </c>
      <c r="Y67" s="1" t="s">
        <v>523</v>
      </c>
      <c r="Z67" s="1" t="s">
        <v>85</v>
      </c>
      <c r="AA67" s="1"/>
      <c r="AB67" s="1"/>
    </row>
    <row r="68" spans="1:28" x14ac:dyDescent="0.25">
      <c r="A68" s="1" t="s">
        <v>438</v>
      </c>
      <c r="B68" s="1" t="s">
        <v>329</v>
      </c>
      <c r="C68" s="1" t="s">
        <v>107</v>
      </c>
      <c r="D68" s="1" t="s">
        <v>107</v>
      </c>
      <c r="E68" s="13"/>
      <c r="F68" s="11">
        <v>41455</v>
      </c>
      <c r="G68" s="11">
        <f t="shared" ca="1" si="4"/>
        <v>45786</v>
      </c>
      <c r="H68" s="27"/>
      <c r="I68" s="27">
        <f t="shared" ca="1" si="3"/>
        <v>11.865753424657534</v>
      </c>
      <c r="J68" s="1" t="s">
        <v>60</v>
      </c>
      <c r="K68" s="1" t="s">
        <v>329</v>
      </c>
      <c r="L68" s="1" t="s">
        <v>223</v>
      </c>
      <c r="M68" s="1">
        <v>4</v>
      </c>
      <c r="N68" s="1">
        <v>95</v>
      </c>
      <c r="O68" s="1" t="s">
        <v>143</v>
      </c>
      <c r="P68" s="1" cm="1">
        <f t="array" ref="P68">IF(SUMPRODUCT(--ISNUMBER(FIND({"GbE";"Gigabit";"I219"}, O68)))&gt;0, 1000, 100)</f>
        <v>1000</v>
      </c>
      <c r="Q68" s="1"/>
      <c r="R68" s="1" t="s">
        <v>467</v>
      </c>
      <c r="S68" s="1" t="s">
        <v>60</v>
      </c>
      <c r="T68" s="1" t="s">
        <v>60</v>
      </c>
      <c r="U68" s="1" t="s">
        <v>60</v>
      </c>
      <c r="V68" s="1" t="s">
        <v>468</v>
      </c>
      <c r="W68" s="1" t="s">
        <v>60</v>
      </c>
      <c r="X68" s="1" t="s">
        <v>469</v>
      </c>
      <c r="Y68" s="1" t="s">
        <v>523</v>
      </c>
      <c r="Z68" s="1" t="s">
        <v>85</v>
      </c>
      <c r="AA68" s="1"/>
      <c r="AB68" s="1"/>
    </row>
    <row r="69" spans="1:28" x14ac:dyDescent="0.25">
      <c r="A69" s="1" t="s">
        <v>350</v>
      </c>
      <c r="B69" s="1" t="s">
        <v>351</v>
      </c>
      <c r="C69" s="1" t="s">
        <v>352</v>
      </c>
      <c r="D69" s="1" t="s">
        <v>353</v>
      </c>
      <c r="E69" s="13"/>
      <c r="F69" s="11">
        <v>40253</v>
      </c>
      <c r="G69" s="11">
        <f t="shared" ca="1" si="4"/>
        <v>45786</v>
      </c>
      <c r="H69" s="27"/>
      <c r="I69" s="27">
        <f t="shared" ca="1" si="3"/>
        <v>15.158904109589042</v>
      </c>
      <c r="J69" s="1" t="s">
        <v>60</v>
      </c>
      <c r="K69" s="1" t="s">
        <v>329</v>
      </c>
      <c r="L69" s="1" t="s">
        <v>344</v>
      </c>
      <c r="M69" s="1">
        <v>16</v>
      </c>
      <c r="N69" s="1">
        <v>120</v>
      </c>
      <c r="O69" s="1" t="s">
        <v>354</v>
      </c>
      <c r="P69" s="1" cm="1">
        <f t="array" ref="P69">IF(SUMPRODUCT(--ISNUMBER(FIND({"GbE";"Gigabit";"I219"}, O69)))&gt;0, 1000, 100)</f>
        <v>100</v>
      </c>
      <c r="Q69" s="1"/>
      <c r="R69" s="1" t="s">
        <v>346</v>
      </c>
      <c r="S69" s="1" t="s">
        <v>60</v>
      </c>
      <c r="T69" s="1" t="s">
        <v>60</v>
      </c>
      <c r="U69" s="1" t="s">
        <v>60</v>
      </c>
      <c r="V69" s="1"/>
      <c r="W69" s="1" t="s">
        <v>60</v>
      </c>
      <c r="X69" s="1"/>
      <c r="Y69" s="1" t="s">
        <v>523</v>
      </c>
      <c r="Z69" s="1" t="s">
        <v>85</v>
      </c>
      <c r="AA69" s="1"/>
      <c r="AB69" s="1"/>
    </row>
    <row r="70" spans="1:28" x14ac:dyDescent="0.25">
      <c r="A70" s="1" t="s">
        <v>355</v>
      </c>
      <c r="B70" s="1" t="s">
        <v>351</v>
      </c>
      <c r="C70" s="1" t="s">
        <v>352</v>
      </c>
      <c r="D70" s="1" t="s">
        <v>353</v>
      </c>
      <c r="E70" s="13"/>
      <c r="F70" s="11">
        <v>40253</v>
      </c>
      <c r="G70" s="11">
        <f t="shared" ca="1" si="4"/>
        <v>45786</v>
      </c>
      <c r="H70" s="27"/>
      <c r="I70" s="27">
        <f t="shared" ca="1" si="3"/>
        <v>15.158904109589042</v>
      </c>
      <c r="J70" s="1" t="s">
        <v>60</v>
      </c>
      <c r="K70" s="1" t="s">
        <v>329</v>
      </c>
      <c r="L70" s="1" t="s">
        <v>344</v>
      </c>
      <c r="M70" s="1">
        <v>4</v>
      </c>
      <c r="N70" s="1">
        <v>120</v>
      </c>
      <c r="O70" s="1" t="s">
        <v>354</v>
      </c>
      <c r="P70" s="1" cm="1">
        <f t="array" ref="P70">IF(SUMPRODUCT(--ISNUMBER(FIND({"GbE";"Gigabit";"I219"}, O70)))&gt;0, 1000, 100)</f>
        <v>100</v>
      </c>
      <c r="Q70" s="1"/>
      <c r="R70" s="1" t="s">
        <v>346</v>
      </c>
      <c r="S70" s="1" t="s">
        <v>60</v>
      </c>
      <c r="T70" s="1" t="s">
        <v>60</v>
      </c>
      <c r="U70" s="1" t="s">
        <v>60</v>
      </c>
      <c r="V70" s="1"/>
      <c r="W70" s="1" t="s">
        <v>60</v>
      </c>
      <c r="X70" s="1"/>
      <c r="Y70" s="1" t="s">
        <v>523</v>
      </c>
      <c r="Z70" s="1" t="s">
        <v>85</v>
      </c>
      <c r="AA70" s="1"/>
      <c r="AB70" s="1"/>
    </row>
    <row r="71" spans="1:28" x14ac:dyDescent="0.25">
      <c r="A71" s="1" t="s">
        <v>356</v>
      </c>
      <c r="B71" s="1" t="s">
        <v>351</v>
      </c>
      <c r="C71" s="1" t="s">
        <v>352</v>
      </c>
      <c r="D71" s="1" t="s">
        <v>353</v>
      </c>
      <c r="E71" s="13"/>
      <c r="F71" s="11">
        <v>40253</v>
      </c>
      <c r="G71" s="11">
        <f t="shared" ca="1" si="4"/>
        <v>45786</v>
      </c>
      <c r="H71" s="27"/>
      <c r="I71" s="27">
        <f t="shared" ca="1" si="3"/>
        <v>15.158904109589042</v>
      </c>
      <c r="J71" s="1" t="s">
        <v>60</v>
      </c>
      <c r="K71" s="1" t="s">
        <v>329</v>
      </c>
      <c r="L71" s="1" t="s">
        <v>344</v>
      </c>
      <c r="M71" s="1">
        <v>4</v>
      </c>
      <c r="N71" s="1">
        <v>120</v>
      </c>
      <c r="O71" s="1" t="s">
        <v>354</v>
      </c>
      <c r="P71" s="1" cm="1">
        <f t="array" ref="P71">IF(SUMPRODUCT(--ISNUMBER(FIND({"GbE";"Gigabit";"I219"}, O71)))&gt;0, 1000, 100)</f>
        <v>100</v>
      </c>
      <c r="Q71" s="1"/>
      <c r="R71" s="1" t="s">
        <v>346</v>
      </c>
      <c r="S71" s="1" t="s">
        <v>60</v>
      </c>
      <c r="T71" s="1" t="s">
        <v>60</v>
      </c>
      <c r="U71" s="1" t="s">
        <v>60</v>
      </c>
      <c r="V71" s="1"/>
      <c r="W71" s="1" t="s">
        <v>60</v>
      </c>
      <c r="X71" s="1"/>
      <c r="Y71" s="1" t="s">
        <v>523</v>
      </c>
      <c r="Z71" s="1" t="s">
        <v>85</v>
      </c>
      <c r="AA71" s="1"/>
      <c r="AB71" s="1"/>
    </row>
    <row r="72" spans="1:28" x14ac:dyDescent="0.25">
      <c r="A72" s="1" t="s">
        <v>357</v>
      </c>
      <c r="B72" s="1" t="s">
        <v>351</v>
      </c>
      <c r="C72" s="1" t="s">
        <v>352</v>
      </c>
      <c r="D72" s="1" t="s">
        <v>353</v>
      </c>
      <c r="E72" s="1"/>
      <c r="F72" s="11">
        <v>40253</v>
      </c>
      <c r="G72" s="11">
        <f t="shared" ca="1" si="4"/>
        <v>45786</v>
      </c>
      <c r="H72" s="27"/>
      <c r="I72" s="27">
        <f t="shared" ca="1" si="3"/>
        <v>15.158904109589042</v>
      </c>
      <c r="J72" s="1" t="s">
        <v>60</v>
      </c>
      <c r="K72" s="1" t="s">
        <v>329</v>
      </c>
      <c r="L72" s="1" t="s">
        <v>344</v>
      </c>
      <c r="M72" s="1">
        <v>8</v>
      </c>
      <c r="N72" s="1">
        <v>120</v>
      </c>
      <c r="O72" s="1" t="s">
        <v>354</v>
      </c>
      <c r="P72" s="1" cm="1">
        <f t="array" ref="P72">IF(SUMPRODUCT(--ISNUMBER(FIND({"GbE";"Gigabit";"I219"}, O72)))&gt;0, 1000, 100)</f>
        <v>100</v>
      </c>
      <c r="Q72" s="1"/>
      <c r="R72" s="1" t="s">
        <v>346</v>
      </c>
      <c r="S72" s="1" t="s">
        <v>60</v>
      </c>
      <c r="T72" s="1" t="s">
        <v>60</v>
      </c>
      <c r="U72" s="1" t="s">
        <v>60</v>
      </c>
      <c r="V72" s="1" t="s">
        <v>358</v>
      </c>
      <c r="W72" s="1" t="s">
        <v>60</v>
      </c>
      <c r="X72" s="1"/>
      <c r="Y72" s="1" t="s">
        <v>523</v>
      </c>
      <c r="Z72" s="1" t="s">
        <v>85</v>
      </c>
      <c r="AA72" s="1"/>
      <c r="AB72" s="1"/>
    </row>
    <row r="73" spans="1:28" x14ac:dyDescent="0.25">
      <c r="A73" s="1" t="s">
        <v>359</v>
      </c>
      <c r="B73" s="1" t="s">
        <v>351</v>
      </c>
      <c r="C73" s="1" t="s">
        <v>352</v>
      </c>
      <c r="D73" s="1" t="s">
        <v>353</v>
      </c>
      <c r="E73" s="1"/>
      <c r="F73" s="11">
        <v>40253</v>
      </c>
      <c r="G73" s="11">
        <f t="shared" ca="1" si="4"/>
        <v>45786</v>
      </c>
      <c r="H73" s="27"/>
      <c r="I73" s="27">
        <f t="shared" ca="1" si="3"/>
        <v>15.158904109589042</v>
      </c>
      <c r="J73" s="1" t="s">
        <v>60</v>
      </c>
      <c r="K73" s="1" t="s">
        <v>329</v>
      </c>
      <c r="L73" s="1" t="s">
        <v>344</v>
      </c>
      <c r="M73" s="1">
        <v>4</v>
      </c>
      <c r="N73" s="1">
        <v>120</v>
      </c>
      <c r="O73" s="1" t="s">
        <v>354</v>
      </c>
      <c r="P73" s="1" cm="1">
        <f t="array" ref="P73">IF(SUMPRODUCT(--ISNUMBER(FIND({"GbE";"Gigabit";"I219"}, O73)))&gt;0, 1000, 100)</f>
        <v>100</v>
      </c>
      <c r="Q73" s="1"/>
      <c r="R73" s="1" t="s">
        <v>346</v>
      </c>
      <c r="S73" s="1" t="s">
        <v>60</v>
      </c>
      <c r="T73" s="1" t="s">
        <v>60</v>
      </c>
      <c r="U73" s="1" t="s">
        <v>60</v>
      </c>
      <c r="V73" s="1" t="s">
        <v>360</v>
      </c>
      <c r="W73" s="1" t="s">
        <v>60</v>
      </c>
      <c r="X73" s="1" t="s">
        <v>565</v>
      </c>
      <c r="Y73" s="1" t="s">
        <v>523</v>
      </c>
      <c r="Z73" s="1" t="s">
        <v>85</v>
      </c>
      <c r="AA73" s="1"/>
      <c r="AB73" s="1"/>
    </row>
    <row r="74" spans="1:28" x14ac:dyDescent="0.25">
      <c r="A74" s="1" t="s">
        <v>400</v>
      </c>
      <c r="B74" s="1" t="s">
        <v>414</v>
      </c>
      <c r="C74" s="1" t="s">
        <v>415</v>
      </c>
      <c r="D74" s="1" t="s">
        <v>416</v>
      </c>
      <c r="E74" s="1"/>
      <c r="F74" s="11">
        <v>44188</v>
      </c>
      <c r="G74" s="11">
        <f ca="1">TODAY()</f>
        <v>45786</v>
      </c>
      <c r="H74" s="27"/>
      <c r="I74" s="27">
        <f t="shared" ca="1" si="3"/>
        <v>4.3780821917808215</v>
      </c>
      <c r="J74" s="1" t="s">
        <v>60</v>
      </c>
      <c r="K74" s="1" t="s">
        <v>213</v>
      </c>
      <c r="L74" s="1"/>
      <c r="M74" s="1"/>
      <c r="N74" s="1"/>
      <c r="O74" s="1"/>
      <c r="P74" s="1">
        <v>1000</v>
      </c>
      <c r="Q74" s="1"/>
      <c r="R74" s="1"/>
      <c r="S74" s="1"/>
      <c r="T74" s="1"/>
      <c r="U74" s="1"/>
      <c r="V74" s="1"/>
      <c r="W74" s="1" t="s">
        <v>60</v>
      </c>
      <c r="X74" s="1"/>
      <c r="Y74" s="1" t="s">
        <v>523</v>
      </c>
      <c r="Z74" s="1"/>
      <c r="AA74" s="1"/>
      <c r="AB74" s="1"/>
    </row>
    <row r="75" spans="1:28" x14ac:dyDescent="0.25">
      <c r="A75" s="1" t="s">
        <v>401</v>
      </c>
      <c r="B75" s="1" t="s">
        <v>414</v>
      </c>
      <c r="C75" s="1" t="s">
        <v>415</v>
      </c>
      <c r="D75" s="1" t="s">
        <v>416</v>
      </c>
      <c r="E75" s="1"/>
      <c r="F75" s="11">
        <v>44188</v>
      </c>
      <c r="G75" s="11">
        <f t="shared" ref="G75:G103" ca="1" si="5">TODAY()</f>
        <v>45786</v>
      </c>
      <c r="H75" s="27"/>
      <c r="I75" s="27">
        <f t="shared" ca="1" si="3"/>
        <v>4.3780821917808215</v>
      </c>
      <c r="J75" s="1" t="s">
        <v>60</v>
      </c>
      <c r="K75" s="1" t="s">
        <v>213</v>
      </c>
      <c r="L75" s="1"/>
      <c r="M75" s="1"/>
      <c r="N75" s="1"/>
      <c r="O75" s="1"/>
      <c r="P75" s="1">
        <v>1000</v>
      </c>
      <c r="Q75" s="1"/>
      <c r="R75" s="1"/>
      <c r="S75" s="1"/>
      <c r="T75" s="1"/>
      <c r="U75" s="1"/>
      <c r="V75" s="1"/>
      <c r="W75" s="1" t="s">
        <v>60</v>
      </c>
      <c r="X75" s="1"/>
      <c r="Y75" s="1" t="s">
        <v>523</v>
      </c>
      <c r="Z75" s="1"/>
      <c r="AA75" s="1"/>
      <c r="AB75" s="1"/>
    </row>
    <row r="76" spans="1:28" x14ac:dyDescent="0.25">
      <c r="A76" s="1" t="s">
        <v>402</v>
      </c>
      <c r="B76" s="1" t="s">
        <v>414</v>
      </c>
      <c r="C76" s="1" t="s">
        <v>415</v>
      </c>
      <c r="D76" s="1" t="s">
        <v>416</v>
      </c>
      <c r="E76" s="1"/>
      <c r="F76" s="11">
        <v>44188</v>
      </c>
      <c r="G76" s="11">
        <f t="shared" ca="1" si="5"/>
        <v>45786</v>
      </c>
      <c r="H76" s="27"/>
      <c r="I76" s="27">
        <f t="shared" ca="1" si="3"/>
        <v>4.3780821917808215</v>
      </c>
      <c r="J76" s="1" t="s">
        <v>60</v>
      </c>
      <c r="K76" s="1" t="s">
        <v>213</v>
      </c>
      <c r="L76" s="1"/>
      <c r="M76" s="1"/>
      <c r="N76" s="1"/>
      <c r="O76" s="1"/>
      <c r="P76" s="1">
        <v>1000</v>
      </c>
      <c r="Q76" s="1"/>
      <c r="R76" s="1"/>
      <c r="S76" s="1"/>
      <c r="T76" s="1"/>
      <c r="U76" s="1"/>
      <c r="V76" s="1"/>
      <c r="W76" s="1" t="s">
        <v>60</v>
      </c>
      <c r="X76" s="1"/>
      <c r="Y76" s="1" t="s">
        <v>523</v>
      </c>
      <c r="Z76" s="1"/>
      <c r="AA76" s="1"/>
      <c r="AB76" s="1"/>
    </row>
    <row r="77" spans="1:28" x14ac:dyDescent="0.25">
      <c r="A77" s="1" t="s">
        <v>403</v>
      </c>
      <c r="B77" s="1" t="s">
        <v>414</v>
      </c>
      <c r="C77" s="1" t="s">
        <v>415</v>
      </c>
      <c r="D77" s="1" t="s">
        <v>416</v>
      </c>
      <c r="E77" s="1"/>
      <c r="F77" s="11">
        <v>44188</v>
      </c>
      <c r="G77" s="11">
        <f t="shared" ca="1" si="5"/>
        <v>45786</v>
      </c>
      <c r="H77" s="27"/>
      <c r="I77" s="27">
        <f t="shared" ca="1" si="3"/>
        <v>4.3780821917808215</v>
      </c>
      <c r="J77" s="1" t="s">
        <v>60</v>
      </c>
      <c r="K77" s="1" t="s">
        <v>140</v>
      </c>
      <c r="L77" s="1"/>
      <c r="M77" s="1"/>
      <c r="N77" s="1"/>
      <c r="O77" s="1"/>
      <c r="P77" s="1">
        <v>1000</v>
      </c>
      <c r="Q77" s="1"/>
      <c r="R77" s="1"/>
      <c r="S77" s="1"/>
      <c r="T77" s="1"/>
      <c r="U77" s="1"/>
      <c r="V77" s="1"/>
      <c r="W77" s="1" t="s">
        <v>60</v>
      </c>
      <c r="X77" s="1"/>
      <c r="Y77" s="1" t="s">
        <v>523</v>
      </c>
      <c r="Z77" s="1"/>
      <c r="AA77" s="1"/>
      <c r="AB77" s="1"/>
    </row>
    <row r="78" spans="1:28" x14ac:dyDescent="0.25">
      <c r="A78" s="1" t="s">
        <v>404</v>
      </c>
      <c r="B78" s="1" t="s">
        <v>414</v>
      </c>
      <c r="C78" s="1" t="s">
        <v>415</v>
      </c>
      <c r="D78" s="1" t="s">
        <v>416</v>
      </c>
      <c r="E78" s="1"/>
      <c r="F78" s="11">
        <v>44188</v>
      </c>
      <c r="G78" s="11">
        <f t="shared" ca="1" si="5"/>
        <v>45786</v>
      </c>
      <c r="H78" s="27"/>
      <c r="I78" s="27">
        <f t="shared" ca="1" si="3"/>
        <v>4.3780821917808215</v>
      </c>
      <c r="J78" s="1" t="s">
        <v>60</v>
      </c>
      <c r="K78" s="1" t="s">
        <v>140</v>
      </c>
      <c r="L78" s="1"/>
      <c r="M78" s="1"/>
      <c r="N78" s="1"/>
      <c r="O78" s="1"/>
      <c r="P78" s="1">
        <v>1000</v>
      </c>
      <c r="Q78" s="1"/>
      <c r="R78" s="1"/>
      <c r="S78" s="1"/>
      <c r="T78" s="1"/>
      <c r="U78" s="1"/>
      <c r="V78" s="1"/>
      <c r="W78" s="1" t="s">
        <v>60</v>
      </c>
      <c r="X78" s="1"/>
      <c r="Y78" s="1" t="s">
        <v>523</v>
      </c>
      <c r="Z78" s="1"/>
      <c r="AA78" s="1"/>
      <c r="AB78" s="1"/>
    </row>
    <row r="79" spans="1:28" x14ac:dyDescent="0.25">
      <c r="A79" s="1" t="s">
        <v>405</v>
      </c>
      <c r="B79" s="1" t="s">
        <v>414</v>
      </c>
      <c r="C79" s="1" t="s">
        <v>415</v>
      </c>
      <c r="D79" s="1" t="s">
        <v>416</v>
      </c>
      <c r="E79" s="1"/>
      <c r="F79" s="11">
        <v>44188</v>
      </c>
      <c r="G79" s="11">
        <f t="shared" ca="1" si="5"/>
        <v>45786</v>
      </c>
      <c r="H79" s="27"/>
      <c r="I79" s="27">
        <f t="shared" ca="1" si="3"/>
        <v>4.3780821917808215</v>
      </c>
      <c r="J79" s="1" t="s">
        <v>60</v>
      </c>
      <c r="K79" s="1" t="s">
        <v>140</v>
      </c>
      <c r="L79" s="1"/>
      <c r="M79" s="1"/>
      <c r="N79" s="1"/>
      <c r="O79" s="1"/>
      <c r="P79" s="1">
        <v>1000</v>
      </c>
      <c r="Q79" s="1"/>
      <c r="R79" s="1"/>
      <c r="S79" s="1"/>
      <c r="T79" s="1"/>
      <c r="U79" s="1"/>
      <c r="V79" s="1"/>
      <c r="W79" s="1" t="s">
        <v>60</v>
      </c>
      <c r="X79" s="1"/>
      <c r="Y79" s="1" t="s">
        <v>523</v>
      </c>
      <c r="Z79" s="1"/>
      <c r="AA79" s="1"/>
      <c r="AB79" s="1"/>
    </row>
    <row r="80" spans="1:28" x14ac:dyDescent="0.25">
      <c r="A80" s="1" t="s">
        <v>406</v>
      </c>
      <c r="B80" s="1" t="s">
        <v>414</v>
      </c>
      <c r="C80" s="1" t="s">
        <v>415</v>
      </c>
      <c r="D80" s="1" t="s">
        <v>417</v>
      </c>
      <c r="E80" s="1"/>
      <c r="F80" s="11">
        <v>43693</v>
      </c>
      <c r="G80" s="11">
        <f t="shared" ca="1" si="5"/>
        <v>45786</v>
      </c>
      <c r="H80" s="27"/>
      <c r="I80" s="27">
        <f t="shared" ca="1" si="3"/>
        <v>5.7342465753424658</v>
      </c>
      <c r="J80" s="1" t="s">
        <v>60</v>
      </c>
      <c r="K80" s="1" t="s">
        <v>213</v>
      </c>
      <c r="L80" s="1"/>
      <c r="M80" s="1"/>
      <c r="N80" s="1"/>
      <c r="O80" s="1"/>
      <c r="P80" s="1">
        <v>1000</v>
      </c>
      <c r="Q80" s="1"/>
      <c r="R80" s="1"/>
      <c r="S80" s="1"/>
      <c r="T80" s="1"/>
      <c r="U80" s="1"/>
      <c r="V80" s="1"/>
      <c r="W80" s="1" t="s">
        <v>60</v>
      </c>
      <c r="X80" s="1"/>
      <c r="Y80" s="1" t="s">
        <v>523</v>
      </c>
      <c r="Z80" s="1"/>
      <c r="AA80" s="1"/>
      <c r="AB80" s="1"/>
    </row>
    <row r="81" spans="1:28" x14ac:dyDescent="0.25">
      <c r="A81" s="1" t="s">
        <v>407</v>
      </c>
      <c r="B81" s="1" t="s">
        <v>414</v>
      </c>
      <c r="C81" s="1" t="s">
        <v>415</v>
      </c>
      <c r="D81" s="1" t="s">
        <v>417</v>
      </c>
      <c r="E81" s="1"/>
      <c r="F81" s="11">
        <v>43693</v>
      </c>
      <c r="G81" s="11">
        <f t="shared" ca="1" si="5"/>
        <v>45786</v>
      </c>
      <c r="H81" s="27"/>
      <c r="I81" s="27">
        <f t="shared" ca="1" si="3"/>
        <v>5.7342465753424658</v>
      </c>
      <c r="J81" s="1" t="s">
        <v>60</v>
      </c>
      <c r="K81" s="1" t="s">
        <v>140</v>
      </c>
      <c r="L81" s="1"/>
      <c r="M81" s="1"/>
      <c r="N81" s="1"/>
      <c r="O81" s="1"/>
      <c r="P81" s="1">
        <v>1000</v>
      </c>
      <c r="Q81" s="1"/>
      <c r="R81" s="1"/>
      <c r="S81" s="1"/>
      <c r="T81" s="1"/>
      <c r="U81" s="1"/>
      <c r="V81" s="1"/>
      <c r="W81" s="1" t="s">
        <v>60</v>
      </c>
      <c r="X81" s="1"/>
      <c r="Y81" s="1" t="s">
        <v>523</v>
      </c>
      <c r="Z81" s="1"/>
      <c r="AA81" s="1"/>
      <c r="AB81" s="1"/>
    </row>
    <row r="82" spans="1:28" x14ac:dyDescent="0.25">
      <c r="A82" s="1" t="s">
        <v>408</v>
      </c>
      <c r="B82" s="1" t="s">
        <v>414</v>
      </c>
      <c r="C82" s="1" t="s">
        <v>424</v>
      </c>
      <c r="D82" s="1" t="s">
        <v>425</v>
      </c>
      <c r="E82" s="1"/>
      <c r="F82" s="11">
        <v>44188</v>
      </c>
      <c r="G82" s="11">
        <f t="shared" ca="1" si="5"/>
        <v>45786</v>
      </c>
      <c r="H82" s="27"/>
      <c r="I82" s="27">
        <f t="shared" ca="1" si="3"/>
        <v>4.3780821917808215</v>
      </c>
      <c r="J82" s="1" t="s">
        <v>60</v>
      </c>
      <c r="K82" s="1" t="s">
        <v>426</v>
      </c>
      <c r="L82" s="1"/>
      <c r="M82" s="1"/>
      <c r="N82" s="1"/>
      <c r="O82" s="1"/>
      <c r="P82" s="1">
        <v>1000</v>
      </c>
      <c r="Q82" s="1"/>
      <c r="R82" s="1"/>
      <c r="S82" s="1"/>
      <c r="T82" s="1"/>
      <c r="U82" s="1"/>
      <c r="V82" s="1"/>
      <c r="W82" s="1" t="s">
        <v>60</v>
      </c>
      <c r="X82" s="1"/>
      <c r="Y82" s="1" t="s">
        <v>523</v>
      </c>
      <c r="Z82" s="1"/>
      <c r="AA82" s="1"/>
      <c r="AB82" s="1"/>
    </row>
    <row r="83" spans="1:28" x14ac:dyDescent="0.25">
      <c r="A83" s="1" t="s">
        <v>409</v>
      </c>
      <c r="B83" s="1" t="s">
        <v>414</v>
      </c>
      <c r="C83" s="1" t="s">
        <v>415</v>
      </c>
      <c r="D83" s="1" t="s">
        <v>427</v>
      </c>
      <c r="E83" s="1"/>
      <c r="F83" s="11">
        <v>44196</v>
      </c>
      <c r="G83" s="11">
        <f t="shared" ca="1" si="5"/>
        <v>45786</v>
      </c>
      <c r="H83" s="27"/>
      <c r="I83" s="27">
        <f t="shared" ca="1" si="3"/>
        <v>4.3561643835616435</v>
      </c>
      <c r="J83" s="1" t="s">
        <v>60</v>
      </c>
      <c r="K83" s="1" t="s">
        <v>429</v>
      </c>
      <c r="L83" s="1"/>
      <c r="M83" s="1"/>
      <c r="N83" s="1"/>
      <c r="O83" s="1"/>
      <c r="P83" s="1">
        <v>1000</v>
      </c>
      <c r="Q83" s="1"/>
      <c r="R83" s="1"/>
      <c r="S83" s="1"/>
      <c r="T83" s="1"/>
      <c r="U83" s="1"/>
      <c r="V83" s="1"/>
      <c r="W83" s="1" t="s">
        <v>60</v>
      </c>
      <c r="X83" s="1"/>
      <c r="Y83" s="1" t="s">
        <v>523</v>
      </c>
      <c r="Z83" s="1"/>
      <c r="AA83" s="1"/>
      <c r="AB83" s="1"/>
    </row>
    <row r="84" spans="1:28" x14ac:dyDescent="0.25">
      <c r="A84" s="1" t="s">
        <v>410</v>
      </c>
      <c r="B84" s="1" t="s">
        <v>414</v>
      </c>
      <c r="C84" s="1" t="s">
        <v>415</v>
      </c>
      <c r="D84" s="1" t="s">
        <v>417</v>
      </c>
      <c r="E84" s="1"/>
      <c r="F84" s="11">
        <v>43693</v>
      </c>
      <c r="G84" s="11">
        <f t="shared" ca="1" si="5"/>
        <v>45786</v>
      </c>
      <c r="H84" s="27"/>
      <c r="I84" s="27">
        <f t="shared" ca="1" si="3"/>
        <v>5.7342465753424658</v>
      </c>
      <c r="J84" s="1" t="s">
        <v>60</v>
      </c>
      <c r="K84" s="1" t="s">
        <v>428</v>
      </c>
      <c r="L84" s="1"/>
      <c r="M84" s="1"/>
      <c r="N84" s="1"/>
      <c r="O84" s="1"/>
      <c r="P84" s="1">
        <v>1000</v>
      </c>
      <c r="Q84" s="1"/>
      <c r="R84" s="1"/>
      <c r="S84" s="1"/>
      <c r="T84" s="1"/>
      <c r="U84" s="1"/>
      <c r="V84" s="1"/>
      <c r="W84" s="1" t="s">
        <v>60</v>
      </c>
      <c r="X84" s="1"/>
      <c r="Y84" s="1" t="s">
        <v>523</v>
      </c>
      <c r="Z84" s="1"/>
      <c r="AA84" s="1"/>
      <c r="AB84" s="1"/>
    </row>
    <row r="85" spans="1:28" x14ac:dyDescent="0.25">
      <c r="A85" s="1" t="s">
        <v>411</v>
      </c>
      <c r="B85" s="1" t="s">
        <v>414</v>
      </c>
      <c r="C85" s="1" t="s">
        <v>415</v>
      </c>
      <c r="D85" s="1" t="s">
        <v>417</v>
      </c>
      <c r="E85" s="1"/>
      <c r="F85" s="11">
        <v>43693</v>
      </c>
      <c r="G85" s="11">
        <f t="shared" ca="1" si="5"/>
        <v>45786</v>
      </c>
      <c r="H85" s="27"/>
      <c r="I85" s="27">
        <f t="shared" ca="1" si="3"/>
        <v>5.7342465753424658</v>
      </c>
      <c r="J85" s="1" t="s">
        <v>60</v>
      </c>
      <c r="K85" s="1" t="s">
        <v>429</v>
      </c>
      <c r="L85" s="1"/>
      <c r="M85" s="1"/>
      <c r="N85" s="1"/>
      <c r="O85" s="1"/>
      <c r="P85" s="1">
        <v>1000</v>
      </c>
      <c r="Q85" s="1"/>
      <c r="R85" s="1"/>
      <c r="S85" s="1"/>
      <c r="T85" s="1"/>
      <c r="U85" s="1"/>
      <c r="V85" s="1"/>
      <c r="W85" s="1" t="s">
        <v>60</v>
      </c>
      <c r="X85" s="1"/>
      <c r="Y85" s="1" t="s">
        <v>523</v>
      </c>
      <c r="Z85" s="1"/>
      <c r="AA85" s="1"/>
      <c r="AB85" s="1"/>
    </row>
    <row r="86" spans="1:28" x14ac:dyDescent="0.25">
      <c r="A86" s="1" t="s">
        <v>412</v>
      </c>
      <c r="B86" s="1" t="s">
        <v>414</v>
      </c>
      <c r="C86" s="1" t="s">
        <v>415</v>
      </c>
      <c r="D86" s="1" t="s">
        <v>427</v>
      </c>
      <c r="E86" s="1"/>
      <c r="F86" s="11">
        <v>44196</v>
      </c>
      <c r="G86" s="11">
        <f t="shared" ca="1" si="5"/>
        <v>45786</v>
      </c>
      <c r="H86" s="27"/>
      <c r="I86" s="27">
        <f t="shared" ca="1" si="3"/>
        <v>4.3561643835616435</v>
      </c>
      <c r="J86" s="1" t="s">
        <v>60</v>
      </c>
      <c r="K86" s="1" t="s">
        <v>429</v>
      </c>
      <c r="L86" s="1"/>
      <c r="M86" s="1"/>
      <c r="N86" s="1"/>
      <c r="O86" s="1"/>
      <c r="P86" s="1">
        <v>1000</v>
      </c>
      <c r="Q86" s="1"/>
      <c r="R86" s="1"/>
      <c r="S86" s="1"/>
      <c r="T86" s="1"/>
      <c r="U86" s="1"/>
      <c r="V86" s="1"/>
      <c r="W86" s="1" t="s">
        <v>60</v>
      </c>
      <c r="X86" s="1"/>
      <c r="Y86" s="1" t="s">
        <v>523</v>
      </c>
      <c r="Z86" s="1"/>
      <c r="AA86" s="1"/>
      <c r="AB86" s="1"/>
    </row>
    <row r="87" spans="1:28" x14ac:dyDescent="0.25">
      <c r="A87" s="10" t="s">
        <v>413</v>
      </c>
      <c r="B87" s="10" t="s">
        <v>414</v>
      </c>
      <c r="C87" s="10" t="s">
        <v>415</v>
      </c>
      <c r="D87" s="10" t="s">
        <v>416</v>
      </c>
      <c r="E87" s="10"/>
      <c r="F87" s="11">
        <v>44188</v>
      </c>
      <c r="G87" s="11">
        <f t="shared" ca="1" si="5"/>
        <v>45786</v>
      </c>
      <c r="H87" s="27"/>
      <c r="I87" s="27">
        <f t="shared" ca="1" si="3"/>
        <v>4.3780821917808215</v>
      </c>
      <c r="J87" s="10" t="s">
        <v>60</v>
      </c>
      <c r="K87" s="10" t="s">
        <v>67</v>
      </c>
      <c r="L87" s="10"/>
      <c r="M87" s="10"/>
      <c r="N87" s="10"/>
      <c r="O87" s="1"/>
      <c r="P87" s="1">
        <v>1000</v>
      </c>
      <c r="Q87" s="1"/>
      <c r="R87" s="1"/>
      <c r="S87" s="1"/>
      <c r="T87" s="1"/>
      <c r="U87" s="1"/>
      <c r="V87" s="1"/>
      <c r="W87" s="1" t="s">
        <v>60</v>
      </c>
      <c r="X87" s="1"/>
      <c r="Y87" s="1" t="s">
        <v>523</v>
      </c>
      <c r="Z87" s="1"/>
      <c r="AA87" s="1"/>
      <c r="AB87" s="1"/>
    </row>
    <row r="88" spans="1:28" x14ac:dyDescent="0.25">
      <c r="A88" s="1" t="s">
        <v>430</v>
      </c>
      <c r="B88" s="1" t="s">
        <v>432</v>
      </c>
      <c r="C88" s="1" t="s">
        <v>415</v>
      </c>
      <c r="D88" s="1" t="s">
        <v>433</v>
      </c>
      <c r="E88" s="1"/>
      <c r="F88" s="11">
        <v>44197</v>
      </c>
      <c r="G88" s="11">
        <f t="shared" ca="1" si="5"/>
        <v>45786</v>
      </c>
      <c r="H88" s="27"/>
      <c r="I88" s="27">
        <f t="shared" ca="1" si="3"/>
        <v>4.353424657534247</v>
      </c>
      <c r="J88" s="1" t="s">
        <v>60</v>
      </c>
      <c r="K88" s="1" t="s">
        <v>434</v>
      </c>
      <c r="L88" s="1"/>
      <c r="M88" s="1"/>
      <c r="N88" s="1"/>
      <c r="O88" s="1"/>
      <c r="P88" s="1">
        <v>300</v>
      </c>
      <c r="Q88" s="1"/>
      <c r="R88" s="1"/>
      <c r="S88" s="1"/>
      <c r="T88" s="1"/>
      <c r="U88" s="1"/>
      <c r="V88" s="1"/>
      <c r="W88" s="1" t="s">
        <v>60</v>
      </c>
      <c r="X88" s="1"/>
      <c r="Y88" s="1" t="s">
        <v>523</v>
      </c>
      <c r="Z88" s="1"/>
      <c r="AA88" s="1"/>
      <c r="AB88" s="1"/>
    </row>
    <row r="89" spans="1:28" ht="15.75" customHeight="1" x14ac:dyDescent="0.25">
      <c r="A89" s="1" t="s">
        <v>431</v>
      </c>
      <c r="B89" s="1" t="s">
        <v>432</v>
      </c>
      <c r="C89" s="1" t="s">
        <v>415</v>
      </c>
      <c r="D89" s="1" t="s">
        <v>435</v>
      </c>
      <c r="E89" s="1"/>
      <c r="F89" s="11">
        <v>42370</v>
      </c>
      <c r="G89" s="11">
        <f t="shared" ca="1" si="5"/>
        <v>45786</v>
      </c>
      <c r="H89" s="27"/>
      <c r="I89" s="27">
        <f t="shared" ca="1" si="3"/>
        <v>9.3589041095890408</v>
      </c>
      <c r="J89" s="1" t="s">
        <v>60</v>
      </c>
      <c r="K89" s="1" t="s">
        <v>62</v>
      </c>
      <c r="L89" s="1"/>
      <c r="M89" s="1"/>
      <c r="N89" s="1"/>
      <c r="O89" s="1"/>
      <c r="P89" s="1">
        <v>867</v>
      </c>
      <c r="Q89" s="1"/>
      <c r="R89" s="1"/>
      <c r="S89" s="1"/>
      <c r="T89" s="1"/>
      <c r="U89" s="1"/>
      <c r="V89" s="1"/>
      <c r="W89" s="1" t="s">
        <v>60</v>
      </c>
      <c r="X89" s="1"/>
      <c r="Y89" s="1" t="s">
        <v>523</v>
      </c>
      <c r="Z89" s="1"/>
      <c r="AA89" s="1"/>
      <c r="AB89" s="1"/>
    </row>
    <row r="90" spans="1:28" x14ac:dyDescent="0.25">
      <c r="A90" s="1" t="s">
        <v>628</v>
      </c>
      <c r="B90" s="1" t="s">
        <v>432</v>
      </c>
      <c r="C90" s="1" t="s">
        <v>625</v>
      </c>
      <c r="D90" s="1" t="s">
        <v>626</v>
      </c>
      <c r="E90" s="1"/>
      <c r="F90" s="11">
        <v>45524</v>
      </c>
      <c r="G90" s="11">
        <f t="shared" ca="1" si="5"/>
        <v>45786</v>
      </c>
      <c r="H90" s="27"/>
      <c r="I90" s="27">
        <f t="shared" ca="1" si="3"/>
        <v>0.71780821917808224</v>
      </c>
      <c r="J90" s="1" t="s">
        <v>60</v>
      </c>
      <c r="K90" s="1" t="s">
        <v>627</v>
      </c>
      <c r="L90" s="1"/>
      <c r="M90" s="1"/>
      <c r="N90" s="1"/>
      <c r="O90" s="1"/>
      <c r="P90" s="1">
        <v>100</v>
      </c>
      <c r="Q90" s="1"/>
      <c r="R90" s="1"/>
      <c r="S90" s="1"/>
      <c r="T90" s="1"/>
      <c r="U90" s="1"/>
      <c r="V90" s="1"/>
      <c r="W90" s="1" t="s">
        <v>60</v>
      </c>
      <c r="X90" s="1"/>
      <c r="Y90" s="1" t="s">
        <v>523</v>
      </c>
      <c r="Z90" s="1"/>
      <c r="AA90" s="1"/>
      <c r="AB90" s="1"/>
    </row>
    <row r="91" spans="1:28" x14ac:dyDescent="0.25">
      <c r="A91" s="1" t="s">
        <v>629</v>
      </c>
      <c r="B91" s="1" t="s">
        <v>432</v>
      </c>
      <c r="C91" s="1" t="s">
        <v>625</v>
      </c>
      <c r="D91" s="1" t="s">
        <v>626</v>
      </c>
      <c r="E91" s="1"/>
      <c r="F91" s="11">
        <v>45524</v>
      </c>
      <c r="G91" s="11">
        <f t="shared" ca="1" si="5"/>
        <v>45786</v>
      </c>
      <c r="H91" s="27"/>
      <c r="I91" s="27">
        <f t="shared" ca="1" si="3"/>
        <v>0.71780821917808224</v>
      </c>
      <c r="J91" s="1" t="s">
        <v>60</v>
      </c>
      <c r="K91" s="1" t="s">
        <v>630</v>
      </c>
      <c r="L91" s="1"/>
      <c r="M91" s="1"/>
      <c r="N91" s="1"/>
      <c r="O91" s="1"/>
      <c r="P91" s="1">
        <v>100</v>
      </c>
      <c r="Q91" s="1"/>
      <c r="R91" s="1"/>
      <c r="S91" s="1"/>
      <c r="T91" s="1"/>
      <c r="U91" s="1"/>
      <c r="V91" s="1"/>
      <c r="W91" s="1" t="s">
        <v>60</v>
      </c>
      <c r="X91" s="1"/>
      <c r="Y91" s="1" t="s">
        <v>523</v>
      </c>
      <c r="Z91" s="1"/>
      <c r="AA91" s="1"/>
      <c r="AB91" s="1"/>
    </row>
    <row r="92" spans="1:28" x14ac:dyDescent="0.25">
      <c r="A92" s="1" t="s">
        <v>631</v>
      </c>
      <c r="B92" s="1" t="s">
        <v>432</v>
      </c>
      <c r="C92" s="1" t="s">
        <v>625</v>
      </c>
      <c r="D92" s="1" t="s">
        <v>626</v>
      </c>
      <c r="E92" s="1"/>
      <c r="F92" s="11">
        <v>45524</v>
      </c>
      <c r="G92" s="11">
        <f t="shared" ca="1" si="5"/>
        <v>45786</v>
      </c>
      <c r="H92" s="27"/>
      <c r="I92" s="27">
        <f t="shared" ref="I92" ca="1" si="6">(G92-F92)/365</f>
        <v>0.71780821917808224</v>
      </c>
      <c r="J92" s="1" t="s">
        <v>60</v>
      </c>
      <c r="K92" s="1" t="s">
        <v>632</v>
      </c>
      <c r="L92" s="1"/>
      <c r="M92" s="1"/>
      <c r="N92" s="1"/>
      <c r="O92" s="1"/>
      <c r="P92" s="1">
        <v>100</v>
      </c>
      <c r="Q92" s="1"/>
      <c r="R92" s="1"/>
      <c r="S92" s="1"/>
      <c r="T92" s="1"/>
      <c r="U92" s="1"/>
      <c r="V92" s="1"/>
      <c r="W92" s="1" t="s">
        <v>60</v>
      </c>
      <c r="X92" s="1"/>
      <c r="Y92" s="1" t="s">
        <v>523</v>
      </c>
      <c r="Z92" s="1"/>
      <c r="AA92" s="1"/>
      <c r="AB92" s="1"/>
    </row>
    <row r="93" spans="1:28" x14ac:dyDescent="0.25">
      <c r="A93" s="1" t="s">
        <v>633</v>
      </c>
      <c r="B93" s="1" t="s">
        <v>448</v>
      </c>
      <c r="C93" s="1" t="s">
        <v>449</v>
      </c>
      <c r="D93" s="1" t="s">
        <v>450</v>
      </c>
      <c r="E93" s="1"/>
      <c r="F93" s="11"/>
      <c r="G93" s="11"/>
      <c r="H93" s="27"/>
      <c r="I93" s="27"/>
      <c r="J93" s="1" t="s">
        <v>60</v>
      </c>
      <c r="K93" s="1" t="s">
        <v>140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 t="s">
        <v>451</v>
      </c>
      <c r="W93" s="1" t="s">
        <v>60</v>
      </c>
      <c r="X93" s="1"/>
      <c r="Y93" s="1" t="s">
        <v>523</v>
      </c>
      <c r="Z93" s="1"/>
      <c r="AA93" s="1"/>
      <c r="AB93" s="1"/>
    </row>
    <row r="94" spans="1:28" x14ac:dyDescent="0.25">
      <c r="A94" s="1" t="s">
        <v>634</v>
      </c>
      <c r="B94" s="1" t="s">
        <v>448</v>
      </c>
      <c r="C94" s="1" t="s">
        <v>449</v>
      </c>
      <c r="D94" s="1" t="s">
        <v>450</v>
      </c>
      <c r="E94" s="1"/>
      <c r="F94" s="11"/>
      <c r="G94" s="11"/>
      <c r="H94" s="27"/>
      <c r="I94" s="27"/>
      <c r="J94" s="1" t="s">
        <v>60</v>
      </c>
      <c r="K94" s="1" t="s">
        <v>213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 t="s">
        <v>452</v>
      </c>
      <c r="W94" s="1" t="s">
        <v>60</v>
      </c>
      <c r="X94" s="1"/>
      <c r="Y94" s="1" t="s">
        <v>523</v>
      </c>
      <c r="Z94" s="1"/>
      <c r="AA94" s="1"/>
      <c r="AB94" s="1"/>
    </row>
    <row r="95" spans="1:28" x14ac:dyDescent="0.25">
      <c r="A95" s="1" t="s">
        <v>635</v>
      </c>
      <c r="B95" s="1" t="s">
        <v>448</v>
      </c>
      <c r="C95" s="1" t="s">
        <v>449</v>
      </c>
      <c r="D95" s="1" t="s">
        <v>450</v>
      </c>
      <c r="E95" s="1"/>
      <c r="F95" s="11"/>
      <c r="G95" s="11"/>
      <c r="H95" s="27"/>
      <c r="I95" s="27"/>
      <c r="J95" s="1" t="s">
        <v>60</v>
      </c>
      <c r="K95" s="1" t="s">
        <v>429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 t="s">
        <v>453</v>
      </c>
      <c r="W95" s="1" t="s">
        <v>60</v>
      </c>
      <c r="X95" s="1"/>
      <c r="Y95" s="1" t="s">
        <v>523</v>
      </c>
      <c r="Z95" s="1"/>
      <c r="AA95" s="1"/>
      <c r="AB95" s="1"/>
    </row>
    <row r="96" spans="1:28" x14ac:dyDescent="0.25">
      <c r="A96" s="1" t="s">
        <v>636</v>
      </c>
      <c r="B96" s="1" t="s">
        <v>448</v>
      </c>
      <c r="C96" s="1" t="s">
        <v>146</v>
      </c>
      <c r="D96" s="1" t="s">
        <v>460</v>
      </c>
      <c r="E96" s="1"/>
      <c r="F96" s="11">
        <v>45717</v>
      </c>
      <c r="G96" s="11">
        <f t="shared" ca="1" si="5"/>
        <v>45786</v>
      </c>
      <c r="H96" s="27">
        <v>2990</v>
      </c>
      <c r="I96" s="27"/>
      <c r="J96" s="1" t="s">
        <v>60</v>
      </c>
      <c r="K96" s="1" t="s">
        <v>457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 t="s">
        <v>459</v>
      </c>
      <c r="W96" s="1" t="s">
        <v>60</v>
      </c>
      <c r="X96" s="1"/>
      <c r="Y96" s="1" t="s">
        <v>523</v>
      </c>
      <c r="Z96" s="1"/>
      <c r="AA96" s="1"/>
      <c r="AB96" s="1"/>
    </row>
    <row r="97" spans="1:28" x14ac:dyDescent="0.25">
      <c r="A97" s="1" t="s">
        <v>637</v>
      </c>
      <c r="B97" s="1" t="s">
        <v>448</v>
      </c>
      <c r="C97" s="1" t="s">
        <v>449</v>
      </c>
      <c r="D97" s="1" t="s">
        <v>450</v>
      </c>
      <c r="E97" s="1"/>
      <c r="F97" s="11"/>
      <c r="G97" s="11"/>
      <c r="H97" s="27"/>
      <c r="I97" s="27"/>
      <c r="J97" s="1" t="s">
        <v>60</v>
      </c>
      <c r="K97" s="1" t="s">
        <v>456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 t="s">
        <v>458</v>
      </c>
      <c r="W97" s="1" t="s">
        <v>60</v>
      </c>
      <c r="X97" s="1"/>
      <c r="Y97" s="1" t="s">
        <v>523</v>
      </c>
      <c r="Z97" s="1"/>
      <c r="AA97" s="1"/>
      <c r="AB97" s="1"/>
    </row>
    <row r="98" spans="1:28" x14ac:dyDescent="0.25">
      <c r="A98" s="1" t="s">
        <v>638</v>
      </c>
      <c r="B98" s="1" t="s">
        <v>448</v>
      </c>
      <c r="C98" s="1" t="s">
        <v>146</v>
      </c>
      <c r="D98" s="1" t="s">
        <v>454</v>
      </c>
      <c r="E98" s="1"/>
      <c r="F98" s="11">
        <v>44196</v>
      </c>
      <c r="G98" s="11">
        <f t="shared" ca="1" si="5"/>
        <v>45786</v>
      </c>
      <c r="H98" s="27"/>
      <c r="I98" s="27">
        <f t="shared" ca="1" si="3"/>
        <v>4.3561643835616435</v>
      </c>
      <c r="J98" s="1" t="s">
        <v>60</v>
      </c>
      <c r="K98" s="1" t="s">
        <v>69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 t="s">
        <v>455</v>
      </c>
      <c r="W98" s="1" t="s">
        <v>60</v>
      </c>
      <c r="X98" s="1"/>
      <c r="Y98" s="1" t="s">
        <v>523</v>
      </c>
      <c r="Z98" s="1"/>
      <c r="AA98" s="1"/>
      <c r="AB98" s="1"/>
    </row>
    <row r="99" spans="1:28" x14ac:dyDescent="0.25">
      <c r="A99" s="1" t="s">
        <v>639</v>
      </c>
      <c r="B99" s="1" t="s">
        <v>448</v>
      </c>
      <c r="C99" s="1" t="s">
        <v>462</v>
      </c>
      <c r="D99" s="1" t="s">
        <v>463</v>
      </c>
      <c r="E99" s="1"/>
      <c r="F99" s="11">
        <v>43100</v>
      </c>
      <c r="G99" s="11">
        <f t="shared" ca="1" si="5"/>
        <v>45786</v>
      </c>
      <c r="H99" s="27"/>
      <c r="I99" s="27">
        <f t="shared" ca="1" si="3"/>
        <v>7.3589041095890408</v>
      </c>
      <c r="J99" s="1" t="s">
        <v>60</v>
      </c>
      <c r="K99" s="1" t="s">
        <v>120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 t="s">
        <v>465</v>
      </c>
      <c r="W99" s="1" t="s">
        <v>60</v>
      </c>
      <c r="X99" s="1"/>
      <c r="Y99" s="1" t="s">
        <v>523</v>
      </c>
      <c r="Z99" s="1"/>
      <c r="AA99" s="1"/>
      <c r="AB99" s="1"/>
    </row>
    <row r="100" spans="1:28" x14ac:dyDescent="0.25">
      <c r="A100" s="1" t="s">
        <v>640</v>
      </c>
      <c r="B100" s="1" t="s">
        <v>448</v>
      </c>
      <c r="C100" s="1" t="s">
        <v>462</v>
      </c>
      <c r="D100" s="1" t="s">
        <v>466</v>
      </c>
      <c r="E100" s="1"/>
      <c r="F100" s="11">
        <v>42370</v>
      </c>
      <c r="G100" s="11">
        <f t="shared" ca="1" si="5"/>
        <v>45786</v>
      </c>
      <c r="H100" s="27"/>
      <c r="I100" s="27">
        <f t="shared" ca="1" si="3"/>
        <v>9.3589041095890408</v>
      </c>
      <c r="J100" s="1" t="s">
        <v>60</v>
      </c>
      <c r="K100" s="1" t="s">
        <v>464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 t="s">
        <v>465</v>
      </c>
      <c r="W100" s="1" t="s">
        <v>60</v>
      </c>
      <c r="X100" s="1"/>
      <c r="Y100" s="1" t="s">
        <v>523</v>
      </c>
      <c r="Z100" s="1"/>
      <c r="AA100" s="1"/>
      <c r="AB100" s="1"/>
    </row>
    <row r="101" spans="1:28" x14ac:dyDescent="0.25">
      <c r="A101" s="1" t="s">
        <v>641</v>
      </c>
      <c r="B101" s="1" t="s">
        <v>448</v>
      </c>
      <c r="C101" s="1" t="s">
        <v>462</v>
      </c>
      <c r="D101" s="1" t="s">
        <v>466</v>
      </c>
      <c r="E101" s="1"/>
      <c r="F101" s="11">
        <v>42370</v>
      </c>
      <c r="G101" s="11">
        <f t="shared" ca="1" si="5"/>
        <v>45786</v>
      </c>
      <c r="H101" s="27"/>
      <c r="I101" s="27">
        <f t="shared" ca="1" si="3"/>
        <v>9.3589041095890408</v>
      </c>
      <c r="J101" s="1" t="s">
        <v>60</v>
      </c>
      <c r="K101" s="1" t="s">
        <v>464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 t="s">
        <v>465</v>
      </c>
      <c r="W101" s="1" t="s">
        <v>60</v>
      </c>
      <c r="X101" s="1"/>
      <c r="Y101" s="1" t="s">
        <v>523</v>
      </c>
      <c r="Z101" s="1"/>
      <c r="AA101" s="1"/>
      <c r="AB101" s="1"/>
    </row>
    <row r="102" spans="1:28" x14ac:dyDescent="0.25">
      <c r="A102" s="1" t="s">
        <v>642</v>
      </c>
      <c r="B102" s="1" t="s">
        <v>448</v>
      </c>
      <c r="C102" s="1" t="s">
        <v>462</v>
      </c>
      <c r="D102" s="1" t="s">
        <v>466</v>
      </c>
      <c r="E102" s="1"/>
      <c r="F102" s="11">
        <v>42370</v>
      </c>
      <c r="G102" s="11">
        <f t="shared" ca="1" si="5"/>
        <v>45786</v>
      </c>
      <c r="H102" s="27"/>
      <c r="I102" s="27">
        <f t="shared" ca="1" si="3"/>
        <v>9.3589041095890408</v>
      </c>
      <c r="J102" s="1" t="s">
        <v>60</v>
      </c>
      <c r="K102" s="1" t="s">
        <v>213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 t="s">
        <v>465</v>
      </c>
      <c r="W102" s="1" t="s">
        <v>60</v>
      </c>
      <c r="X102" s="1"/>
      <c r="Y102" s="1" t="s">
        <v>523</v>
      </c>
      <c r="Z102" s="1"/>
      <c r="AA102" s="1"/>
      <c r="AB102" s="1"/>
    </row>
    <row r="103" spans="1:28" x14ac:dyDescent="0.25">
      <c r="A103" s="1" t="s">
        <v>569</v>
      </c>
      <c r="B103" s="1" t="s">
        <v>570</v>
      </c>
      <c r="C103" s="1" t="s">
        <v>571</v>
      </c>
      <c r="D103" s="1" t="s">
        <v>572</v>
      </c>
      <c r="E103" s="1"/>
      <c r="F103" s="11">
        <v>45497</v>
      </c>
      <c r="G103" s="11">
        <f t="shared" ca="1" si="5"/>
        <v>45786</v>
      </c>
      <c r="H103" s="27">
        <v>5612.22</v>
      </c>
      <c r="I103" s="27">
        <f t="shared" ca="1" si="3"/>
        <v>0.79178082191780819</v>
      </c>
      <c r="J103" s="1" t="s">
        <v>61</v>
      </c>
      <c r="K103" s="1" t="s">
        <v>329</v>
      </c>
      <c r="L103" s="1"/>
      <c r="M103" s="1"/>
      <c r="N103" s="1"/>
      <c r="O103" s="1"/>
      <c r="P103" s="1">
        <v>1000</v>
      </c>
      <c r="Q103" s="1"/>
      <c r="R103" s="1"/>
      <c r="S103" s="1"/>
      <c r="T103" s="1"/>
      <c r="U103" s="1"/>
      <c r="V103" s="1"/>
      <c r="W103" s="1" t="s">
        <v>60</v>
      </c>
      <c r="X103" s="1"/>
      <c r="Y103" s="1" t="s">
        <v>523</v>
      </c>
      <c r="Z103" s="1"/>
      <c r="AA103" s="1"/>
      <c r="AB103" s="1"/>
    </row>
    <row r="104" spans="1:28" x14ac:dyDescent="0.25">
      <c r="I104" s="31">
        <f ca="1">AVERAGE(I2:I89,I98:I103)</f>
        <v>7.3046925094724546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AB42"/>
  <sheetViews>
    <sheetView topLeftCell="A6" workbookViewId="0">
      <pane xSplit="1" topLeftCell="L1" activePane="topRight" state="frozen"/>
      <selection activeCell="A4" sqref="A4"/>
      <selection pane="topRight" activeCell="D14" sqref="D14"/>
    </sheetView>
  </sheetViews>
  <sheetFormatPr defaultRowHeight="15" x14ac:dyDescent="0.25"/>
  <cols>
    <col min="1" max="2" width="20.5703125" customWidth="1"/>
    <col min="3" max="3" width="16.28515625" customWidth="1"/>
    <col min="4" max="4" width="94.5703125" style="2" customWidth="1"/>
    <col min="5" max="5" width="14.140625" bestFit="1" customWidth="1"/>
    <col min="6" max="6" width="27.28515625" customWidth="1"/>
    <col min="7" max="7" width="18.7109375" bestFit="1" customWidth="1"/>
    <col min="8" max="8" width="16.7109375" customWidth="1"/>
    <col min="9" max="9" width="12.5703125" style="21" bestFit="1" customWidth="1"/>
    <col min="10" max="10" width="17" customWidth="1"/>
    <col min="11" max="11" width="20" customWidth="1"/>
    <col min="12" max="12" width="12.85546875" bestFit="1" customWidth="1"/>
    <col min="13" max="14" width="11.85546875" bestFit="1" customWidth="1"/>
    <col min="15" max="15" width="10.7109375" style="21" bestFit="1" customWidth="1"/>
    <col min="16" max="16" width="16.7109375" customWidth="1"/>
    <col min="17" max="17" width="14.85546875" bestFit="1" customWidth="1"/>
    <col min="19" max="19" width="12.28515625" customWidth="1"/>
    <col min="20" max="20" width="12.42578125" customWidth="1"/>
    <col min="21" max="21" width="11.5703125" hidden="1" customWidth="1"/>
    <col min="22" max="22" width="15.28515625" hidden="1" customWidth="1"/>
    <col min="23" max="23" width="13.7109375" customWidth="1"/>
    <col min="24" max="24" width="13.140625" customWidth="1"/>
    <col min="25" max="25" width="16.28515625" customWidth="1"/>
    <col min="26" max="26" width="14" customWidth="1"/>
    <col min="27" max="27" width="14.140625" customWidth="1"/>
    <col min="28" max="28" width="14.140625" style="21" customWidth="1"/>
  </cols>
  <sheetData>
    <row r="4" spans="1:28" s="2" customFormat="1" ht="75" x14ac:dyDescent="0.25">
      <c r="A4" s="5" t="s">
        <v>22</v>
      </c>
      <c r="B4" s="5" t="s">
        <v>574</v>
      </c>
      <c r="C4" s="5" t="s">
        <v>530</v>
      </c>
      <c r="D4" s="5" t="s">
        <v>46</v>
      </c>
      <c r="E4" s="5" t="s">
        <v>23</v>
      </c>
      <c r="F4" s="5" t="s">
        <v>37</v>
      </c>
      <c r="G4" s="5" t="s">
        <v>24</v>
      </c>
      <c r="H4" s="5" t="s">
        <v>38</v>
      </c>
      <c r="I4" s="4" t="s">
        <v>44</v>
      </c>
      <c r="J4" s="5" t="s">
        <v>40</v>
      </c>
      <c r="K4" s="5" t="s">
        <v>39</v>
      </c>
      <c r="L4" s="5" t="s">
        <v>30</v>
      </c>
      <c r="M4" s="5" t="s">
        <v>41</v>
      </c>
      <c r="N4" s="5" t="s">
        <v>43</v>
      </c>
      <c r="O4" s="4" t="s">
        <v>25</v>
      </c>
      <c r="P4" s="4" t="s">
        <v>26</v>
      </c>
      <c r="Q4" s="5" t="s">
        <v>27</v>
      </c>
      <c r="R4" s="5" t="s">
        <v>28</v>
      </c>
      <c r="S4" s="5" t="s">
        <v>29</v>
      </c>
      <c r="T4" s="5" t="s">
        <v>42</v>
      </c>
      <c r="U4" s="5" t="s">
        <v>13</v>
      </c>
      <c r="V4" s="5" t="s">
        <v>31</v>
      </c>
      <c r="W4" s="5" t="s">
        <v>32</v>
      </c>
      <c r="X4" s="5" t="s">
        <v>33</v>
      </c>
      <c r="Y4" s="5" t="s">
        <v>34</v>
      </c>
      <c r="Z4" s="5" t="s">
        <v>35</v>
      </c>
      <c r="AA4" s="5" t="s">
        <v>36</v>
      </c>
      <c r="AB4" s="4" t="s">
        <v>51</v>
      </c>
    </row>
    <row r="5" spans="1:28" ht="105" x14ac:dyDescent="0.25">
      <c r="A5" s="1" t="s">
        <v>52</v>
      </c>
      <c r="B5" s="1"/>
      <c r="C5" s="1" t="s">
        <v>531</v>
      </c>
      <c r="D5" s="33" t="s">
        <v>476</v>
      </c>
      <c r="E5" s="1" t="s">
        <v>543</v>
      </c>
      <c r="F5" s="1" t="s">
        <v>477</v>
      </c>
      <c r="G5" s="1" t="s">
        <v>508</v>
      </c>
      <c r="H5" s="11">
        <v>43174</v>
      </c>
      <c r="I5" s="16">
        <v>7</v>
      </c>
      <c r="J5" s="1" t="s">
        <v>61</v>
      </c>
      <c r="K5" t="s">
        <v>519</v>
      </c>
      <c r="L5" s="1"/>
      <c r="M5" s="29">
        <v>6400</v>
      </c>
      <c r="N5" s="29">
        <v>5848</v>
      </c>
      <c r="O5" s="16">
        <v>61</v>
      </c>
      <c r="P5" s="1" t="s">
        <v>514</v>
      </c>
      <c r="Q5" s="1"/>
      <c r="R5" s="1" t="s">
        <v>562</v>
      </c>
      <c r="S5" s="1"/>
      <c r="T5" s="1" t="s">
        <v>61</v>
      </c>
      <c r="U5" s="1" t="s">
        <v>61</v>
      </c>
      <c r="V5" s="1" t="s">
        <v>523</v>
      </c>
      <c r="W5" s="1"/>
      <c r="X5" s="1" t="s">
        <v>525</v>
      </c>
      <c r="Y5" s="1" t="s">
        <v>329</v>
      </c>
      <c r="Z5" s="1"/>
      <c r="AA5" s="1" t="s">
        <v>60</v>
      </c>
      <c r="AB5" s="16">
        <v>5</v>
      </c>
    </row>
    <row r="6" spans="1:28" ht="150" x14ac:dyDescent="0.25">
      <c r="A6" s="1" t="s">
        <v>511</v>
      </c>
      <c r="B6" s="1"/>
      <c r="C6" s="1" t="s">
        <v>532</v>
      </c>
      <c r="D6" s="33" t="s">
        <v>478</v>
      </c>
      <c r="E6" s="1" t="s">
        <v>551</v>
      </c>
      <c r="F6" s="1" t="s">
        <v>479</v>
      </c>
      <c r="G6" s="1" t="s">
        <v>507</v>
      </c>
      <c r="H6" s="1"/>
      <c r="I6" s="16"/>
      <c r="J6" s="1" t="s">
        <v>61</v>
      </c>
      <c r="K6" s="1" t="s">
        <v>516</v>
      </c>
      <c r="L6" s="1"/>
      <c r="M6" s="29"/>
      <c r="N6" s="29">
        <v>183.6</v>
      </c>
      <c r="O6" s="16">
        <v>2</v>
      </c>
      <c r="P6" s="1" t="s">
        <v>509</v>
      </c>
      <c r="Q6" s="1"/>
      <c r="R6" s="1"/>
      <c r="S6" s="1"/>
      <c r="T6" s="1" t="s">
        <v>61</v>
      </c>
      <c r="U6" s="1" t="s">
        <v>61</v>
      </c>
      <c r="V6" s="1" t="s">
        <v>523</v>
      </c>
      <c r="W6" s="1"/>
      <c r="X6" s="1"/>
      <c r="Y6" s="1" t="s">
        <v>526</v>
      </c>
      <c r="Z6" s="1"/>
      <c r="AA6" s="1" t="s">
        <v>60</v>
      </c>
      <c r="AB6" s="16">
        <v>2</v>
      </c>
    </row>
    <row r="7" spans="1:28" ht="45" x14ac:dyDescent="0.25">
      <c r="A7" s="1" t="s">
        <v>53</v>
      </c>
      <c r="B7" s="1"/>
      <c r="C7" s="1" t="s">
        <v>533</v>
      </c>
      <c r="D7" s="33" t="s">
        <v>480</v>
      </c>
      <c r="E7" s="1" t="s">
        <v>552</v>
      </c>
      <c r="F7" s="1" t="s">
        <v>559</v>
      </c>
      <c r="G7" s="1" t="s">
        <v>513</v>
      </c>
      <c r="H7" s="1"/>
      <c r="I7" s="16"/>
      <c r="J7" s="1" t="s">
        <v>61</v>
      </c>
      <c r="K7" s="1" t="s">
        <v>516</v>
      </c>
      <c r="L7" s="1"/>
      <c r="M7" s="29"/>
      <c r="N7" s="29">
        <v>2332.56</v>
      </c>
      <c r="O7" s="16">
        <v>17</v>
      </c>
      <c r="P7" s="1" t="s">
        <v>509</v>
      </c>
      <c r="Q7" s="1"/>
      <c r="R7" s="1"/>
      <c r="S7" s="1"/>
      <c r="T7" s="1" t="s">
        <v>61</v>
      </c>
      <c r="U7" s="1" t="s">
        <v>61</v>
      </c>
      <c r="V7" s="1" t="s">
        <v>523</v>
      </c>
      <c r="W7" s="1"/>
      <c r="X7" s="1"/>
      <c r="Y7" s="1" t="s">
        <v>526</v>
      </c>
      <c r="Z7" s="1"/>
      <c r="AA7" s="1" t="s">
        <v>60</v>
      </c>
      <c r="AB7" s="16">
        <v>5</v>
      </c>
    </row>
    <row r="8" spans="1:28" ht="75" x14ac:dyDescent="0.25">
      <c r="A8" s="1" t="s">
        <v>54</v>
      </c>
      <c r="B8" s="1"/>
      <c r="C8" s="1" t="s">
        <v>534</v>
      </c>
      <c r="D8" s="33" t="s">
        <v>540</v>
      </c>
      <c r="E8" s="1" t="s">
        <v>544</v>
      </c>
      <c r="F8" s="1" t="s">
        <v>560</v>
      </c>
      <c r="G8" s="1" t="s">
        <v>513</v>
      </c>
      <c r="H8" s="1"/>
      <c r="I8" s="16"/>
      <c r="J8" s="1" t="s">
        <v>61</v>
      </c>
      <c r="K8" s="1" t="s">
        <v>516</v>
      </c>
      <c r="L8" s="1"/>
      <c r="M8" s="29"/>
      <c r="N8" s="29">
        <v>700</v>
      </c>
      <c r="O8" s="16">
        <v>8</v>
      </c>
      <c r="P8" s="1" t="s">
        <v>509</v>
      </c>
      <c r="Q8" s="1"/>
      <c r="R8" s="1"/>
      <c r="S8" s="1"/>
      <c r="T8" s="1" t="s">
        <v>61</v>
      </c>
      <c r="U8" s="1" t="s">
        <v>60</v>
      </c>
      <c r="V8" s="1" t="s">
        <v>523</v>
      </c>
      <c r="W8" s="1"/>
      <c r="X8" s="1"/>
      <c r="Y8" s="1" t="s">
        <v>526</v>
      </c>
      <c r="Z8" s="1"/>
      <c r="AA8" s="1" t="s">
        <v>60</v>
      </c>
      <c r="AB8" s="16">
        <v>3</v>
      </c>
    </row>
    <row r="9" spans="1:28" x14ac:dyDescent="0.25">
      <c r="A9" s="1" t="s">
        <v>55</v>
      </c>
      <c r="B9" s="1"/>
      <c r="C9" s="1" t="s">
        <v>329</v>
      </c>
      <c r="D9" s="33" t="s">
        <v>541</v>
      </c>
      <c r="E9" s="1" t="s">
        <v>553</v>
      </c>
      <c r="F9" s="1" t="s">
        <v>561</v>
      </c>
      <c r="G9" s="1" t="s">
        <v>522</v>
      </c>
      <c r="H9" s="1"/>
      <c r="I9" s="16"/>
      <c r="J9" s="1" t="s">
        <v>61</v>
      </c>
      <c r="K9" s="1" t="s">
        <v>554</v>
      </c>
      <c r="L9" s="1"/>
      <c r="M9" s="29"/>
      <c r="N9" s="29">
        <v>178</v>
      </c>
      <c r="O9" s="16">
        <v>0</v>
      </c>
      <c r="P9" s="1" t="s">
        <v>514</v>
      </c>
      <c r="Q9" s="1"/>
      <c r="R9" s="1"/>
      <c r="S9" s="1"/>
      <c r="T9" s="1" t="s">
        <v>61</v>
      </c>
      <c r="U9" s="1" t="s">
        <v>61</v>
      </c>
      <c r="V9" s="1" t="s">
        <v>523</v>
      </c>
      <c r="W9" s="1"/>
      <c r="X9" s="1"/>
      <c r="Y9" s="1" t="s">
        <v>527</v>
      </c>
      <c r="Z9" s="1"/>
      <c r="AA9" s="1" t="s">
        <v>60</v>
      </c>
      <c r="AB9" s="16">
        <v>3</v>
      </c>
    </row>
    <row r="10" spans="1:28" ht="90" x14ac:dyDescent="0.25">
      <c r="A10" s="1" t="s">
        <v>56</v>
      </c>
      <c r="B10" s="1"/>
      <c r="C10" s="1" t="s">
        <v>531</v>
      </c>
      <c r="D10" s="33" t="s">
        <v>483</v>
      </c>
      <c r="E10" s="1" t="s">
        <v>547</v>
      </c>
      <c r="F10" s="1" t="s">
        <v>481</v>
      </c>
      <c r="G10" s="1" t="s">
        <v>513</v>
      </c>
      <c r="H10" s="1"/>
      <c r="I10" s="16"/>
      <c r="J10" s="1" t="s">
        <v>61</v>
      </c>
      <c r="K10" s="1" t="s">
        <v>516</v>
      </c>
      <c r="L10" s="1"/>
      <c r="M10" s="29">
        <v>0</v>
      </c>
      <c r="N10" s="29">
        <v>206</v>
      </c>
      <c r="O10" s="16">
        <v>14</v>
      </c>
      <c r="P10" s="1" t="s">
        <v>509</v>
      </c>
      <c r="Q10" s="1"/>
      <c r="R10" s="1"/>
      <c r="S10" s="1"/>
      <c r="T10" s="1" t="s">
        <v>61</v>
      </c>
      <c r="U10" s="1" t="s">
        <v>60</v>
      </c>
      <c r="V10" s="1" t="s">
        <v>523</v>
      </c>
      <c r="W10" s="1"/>
      <c r="X10" s="1"/>
      <c r="Y10" s="1" t="s">
        <v>526</v>
      </c>
      <c r="Z10" s="1"/>
      <c r="AA10" s="1" t="s">
        <v>60</v>
      </c>
      <c r="AB10" s="16">
        <v>2</v>
      </c>
    </row>
    <row r="11" spans="1:28" ht="90" x14ac:dyDescent="0.25">
      <c r="A11" s="1" t="s">
        <v>57</v>
      </c>
      <c r="B11" s="1"/>
      <c r="C11" s="1" t="s">
        <v>531</v>
      </c>
      <c r="D11" s="33" t="s">
        <v>482</v>
      </c>
      <c r="E11" s="1" t="s">
        <v>547</v>
      </c>
      <c r="F11" s="1" t="s">
        <v>484</v>
      </c>
      <c r="G11" s="1" t="s">
        <v>513</v>
      </c>
      <c r="H11" s="1"/>
      <c r="I11" s="16"/>
      <c r="J11" s="1" t="s">
        <v>61</v>
      </c>
      <c r="K11" s="1" t="s">
        <v>516</v>
      </c>
      <c r="L11" s="1"/>
      <c r="M11" s="29">
        <v>0</v>
      </c>
      <c r="N11" s="29">
        <v>1040</v>
      </c>
      <c r="O11" s="16">
        <v>1</v>
      </c>
      <c r="P11" s="1" t="s">
        <v>509</v>
      </c>
      <c r="Q11" s="1"/>
      <c r="R11" s="1"/>
      <c r="S11" s="1"/>
      <c r="T11" s="1" t="s">
        <v>61</v>
      </c>
      <c r="U11" s="1" t="s">
        <v>60</v>
      </c>
      <c r="V11" s="1" t="s">
        <v>523</v>
      </c>
      <c r="W11" s="1"/>
      <c r="X11" s="1"/>
      <c r="Y11" s="1" t="s">
        <v>526</v>
      </c>
      <c r="Z11" s="1"/>
      <c r="AA11" s="1" t="s">
        <v>60</v>
      </c>
      <c r="AB11" s="16">
        <v>2</v>
      </c>
    </row>
    <row r="12" spans="1:28" ht="60" x14ac:dyDescent="0.25">
      <c r="A12" s="1" t="s">
        <v>510</v>
      </c>
      <c r="B12" s="1"/>
      <c r="C12" s="1" t="s">
        <v>531</v>
      </c>
      <c r="D12" s="33" t="s">
        <v>485</v>
      </c>
      <c r="E12" s="1" t="s">
        <v>556</v>
      </c>
      <c r="F12" s="1" t="s">
        <v>486</v>
      </c>
      <c r="G12" s="1" t="s">
        <v>520</v>
      </c>
      <c r="H12" s="1"/>
      <c r="I12" s="16"/>
      <c r="J12" s="1" t="s">
        <v>61</v>
      </c>
      <c r="K12" s="1" t="s">
        <v>554</v>
      </c>
      <c r="L12" s="1"/>
      <c r="M12" s="29"/>
      <c r="N12" s="29">
        <v>747.5</v>
      </c>
      <c r="O12" s="16">
        <v>61</v>
      </c>
      <c r="P12" s="1" t="s">
        <v>509</v>
      </c>
      <c r="Q12" s="1"/>
      <c r="R12" s="1"/>
      <c r="S12" s="1"/>
      <c r="T12" s="1" t="s">
        <v>61</v>
      </c>
      <c r="U12" s="1" t="s">
        <v>61</v>
      </c>
      <c r="V12" s="1" t="s">
        <v>523</v>
      </c>
      <c r="W12" s="1"/>
      <c r="X12" s="1"/>
      <c r="Y12" s="1" t="s">
        <v>526</v>
      </c>
      <c r="Z12" s="1"/>
      <c r="AA12" s="1" t="s">
        <v>60</v>
      </c>
      <c r="AB12" s="16">
        <v>4</v>
      </c>
    </row>
    <row r="13" spans="1:28" ht="30" x14ac:dyDescent="0.25">
      <c r="A13" s="30" t="s">
        <v>361</v>
      </c>
      <c r="B13" s="30"/>
      <c r="C13" s="30" t="s">
        <v>531</v>
      </c>
      <c r="D13" s="33" t="s">
        <v>487</v>
      </c>
      <c r="E13" s="1" t="s">
        <v>546</v>
      </c>
      <c r="F13" s="1" t="s">
        <v>488</v>
      </c>
      <c r="G13" s="1" t="s">
        <v>513</v>
      </c>
      <c r="H13" s="1"/>
      <c r="I13" s="16"/>
      <c r="J13" s="1" t="s">
        <v>61</v>
      </c>
      <c r="K13" s="1" t="s">
        <v>517</v>
      </c>
      <c r="L13" s="1"/>
      <c r="M13" s="29">
        <v>0</v>
      </c>
      <c r="N13" s="29">
        <v>24.16</v>
      </c>
      <c r="O13" s="16">
        <v>1</v>
      </c>
      <c r="P13" s="1" t="s">
        <v>509</v>
      </c>
      <c r="Q13" s="1"/>
      <c r="R13" s="1"/>
      <c r="S13" s="1"/>
      <c r="T13" s="1" t="s">
        <v>61</v>
      </c>
      <c r="U13" s="1" t="s">
        <v>61</v>
      </c>
      <c r="V13" s="1" t="s">
        <v>523</v>
      </c>
      <c r="W13" s="1"/>
      <c r="X13" s="1"/>
      <c r="Y13" s="1" t="s">
        <v>526</v>
      </c>
      <c r="Z13" s="1"/>
      <c r="AA13" s="1" t="s">
        <v>60</v>
      </c>
      <c r="AB13" s="16">
        <v>0</v>
      </c>
    </row>
    <row r="14" spans="1:28" ht="60" x14ac:dyDescent="0.25">
      <c r="A14" s="30" t="s">
        <v>362</v>
      </c>
      <c r="B14" s="30"/>
      <c r="C14" s="30" t="s">
        <v>531</v>
      </c>
      <c r="D14" s="33" t="s">
        <v>489</v>
      </c>
      <c r="E14" s="1" t="s">
        <v>543</v>
      </c>
      <c r="F14" s="1" t="s">
        <v>490</v>
      </c>
      <c r="G14" s="1" t="s">
        <v>513</v>
      </c>
      <c r="H14" s="1"/>
      <c r="I14" s="16"/>
      <c r="J14" s="1" t="s">
        <v>61</v>
      </c>
      <c r="K14" s="1" t="s">
        <v>516</v>
      </c>
      <c r="L14" s="1"/>
      <c r="M14" s="29"/>
      <c r="N14" s="29">
        <v>1748.12</v>
      </c>
      <c r="O14" s="16">
        <v>61</v>
      </c>
      <c r="P14" s="1" t="s">
        <v>509</v>
      </c>
      <c r="Q14" s="1"/>
      <c r="R14" s="1"/>
      <c r="S14" s="1"/>
      <c r="T14" s="1" t="s">
        <v>61</v>
      </c>
      <c r="U14" s="1" t="s">
        <v>61</v>
      </c>
      <c r="V14" s="1" t="s">
        <v>523</v>
      </c>
      <c r="W14" s="1"/>
      <c r="X14" s="1"/>
      <c r="Y14" s="1" t="s">
        <v>526</v>
      </c>
      <c r="Z14" s="1"/>
      <c r="AA14" s="1" t="s">
        <v>60</v>
      </c>
      <c r="AB14" s="16">
        <v>3</v>
      </c>
    </row>
    <row r="15" spans="1:28" ht="30" x14ac:dyDescent="0.25">
      <c r="A15" s="30" t="s">
        <v>363</v>
      </c>
      <c r="B15" s="30"/>
      <c r="C15" s="30" t="s">
        <v>531</v>
      </c>
      <c r="D15" s="33" t="s">
        <v>504</v>
      </c>
      <c r="E15" s="1" t="s">
        <v>543</v>
      </c>
      <c r="F15" s="1" t="s">
        <v>477</v>
      </c>
      <c r="G15" s="1" t="s">
        <v>508</v>
      </c>
      <c r="H15" s="1"/>
      <c r="I15" s="16"/>
      <c r="J15" s="1" t="s">
        <v>61</v>
      </c>
      <c r="K15" t="s">
        <v>519</v>
      </c>
      <c r="L15" s="1"/>
      <c r="M15" s="29">
        <v>0</v>
      </c>
      <c r="N15" s="29">
        <v>0</v>
      </c>
      <c r="O15" s="16">
        <v>0</v>
      </c>
      <c r="P15" s="1" t="s">
        <v>509</v>
      </c>
      <c r="Q15" s="1"/>
      <c r="R15" s="1"/>
      <c r="S15" s="1"/>
      <c r="T15" s="1" t="s">
        <v>61</v>
      </c>
      <c r="U15" s="1" t="s">
        <v>61</v>
      </c>
      <c r="V15" s="1" t="s">
        <v>523</v>
      </c>
      <c r="W15" s="1"/>
      <c r="X15" s="1"/>
      <c r="Y15" s="1" t="s">
        <v>526</v>
      </c>
      <c r="Z15" s="1"/>
      <c r="AA15" s="1" t="s">
        <v>60</v>
      </c>
      <c r="AB15" s="16">
        <v>0</v>
      </c>
    </row>
    <row r="16" spans="1:28" ht="60" x14ac:dyDescent="0.25">
      <c r="A16" s="30" t="s">
        <v>364</v>
      </c>
      <c r="B16" s="30"/>
      <c r="C16" s="30" t="s">
        <v>531</v>
      </c>
      <c r="D16" s="33" t="s">
        <v>491</v>
      </c>
      <c r="E16" s="1" t="s">
        <v>555</v>
      </c>
      <c r="F16" s="1" t="s">
        <v>492</v>
      </c>
      <c r="G16" s="1" t="s">
        <v>503</v>
      </c>
      <c r="H16" s="1"/>
      <c r="I16" s="16"/>
      <c r="J16" s="1" t="s">
        <v>61</v>
      </c>
      <c r="K16" s="1" t="s">
        <v>516</v>
      </c>
      <c r="L16" s="1"/>
      <c r="M16" s="29"/>
      <c r="N16" s="29">
        <v>747.5</v>
      </c>
      <c r="O16" s="16">
        <v>61</v>
      </c>
      <c r="P16" s="1" t="s">
        <v>509</v>
      </c>
      <c r="Q16" s="1"/>
      <c r="R16" s="1"/>
      <c r="S16" s="1"/>
      <c r="T16" s="1" t="s">
        <v>61</v>
      </c>
      <c r="U16" s="1" t="s">
        <v>61</v>
      </c>
      <c r="V16" s="1" t="s">
        <v>523</v>
      </c>
      <c r="W16" s="1"/>
      <c r="X16" s="1"/>
      <c r="Y16" s="1" t="s">
        <v>526</v>
      </c>
      <c r="Z16" s="1"/>
      <c r="AA16" s="1" t="s">
        <v>60</v>
      </c>
      <c r="AB16" s="16">
        <v>3</v>
      </c>
    </row>
    <row r="17" spans="1:28" ht="30" x14ac:dyDescent="0.25">
      <c r="A17" s="30" t="s">
        <v>365</v>
      </c>
      <c r="B17" s="30"/>
      <c r="C17" s="30" t="s">
        <v>531</v>
      </c>
      <c r="D17" s="33" t="s">
        <v>493</v>
      </c>
      <c r="E17" s="1" t="s">
        <v>555</v>
      </c>
      <c r="F17" s="1" t="s">
        <v>499</v>
      </c>
      <c r="G17" s="1" t="s">
        <v>498</v>
      </c>
      <c r="H17" s="1"/>
      <c r="I17" s="16"/>
      <c r="J17" s="1" t="s">
        <v>60</v>
      </c>
      <c r="K17" t="s">
        <v>515</v>
      </c>
      <c r="L17" s="1"/>
      <c r="M17" s="29">
        <v>0</v>
      </c>
      <c r="N17" s="29">
        <v>0</v>
      </c>
      <c r="O17" s="16">
        <v>61</v>
      </c>
      <c r="P17" s="1" t="s">
        <v>514</v>
      </c>
      <c r="Q17" s="1"/>
      <c r="R17" s="1"/>
      <c r="S17" s="1"/>
      <c r="T17" s="1" t="s">
        <v>61</v>
      </c>
      <c r="U17" s="1" t="s">
        <v>61</v>
      </c>
      <c r="V17" s="1" t="s">
        <v>523</v>
      </c>
      <c r="W17" s="1"/>
      <c r="X17" s="1"/>
      <c r="Y17" s="1" t="s">
        <v>524</v>
      </c>
      <c r="Z17" s="1"/>
      <c r="AA17" s="1" t="s">
        <v>60</v>
      </c>
      <c r="AB17" s="16">
        <v>0</v>
      </c>
    </row>
    <row r="18" spans="1:28" ht="45" x14ac:dyDescent="0.25">
      <c r="A18" s="30" t="s">
        <v>366</v>
      </c>
      <c r="B18" s="30"/>
      <c r="C18" s="30" t="s">
        <v>535</v>
      </c>
      <c r="D18" s="33" t="s">
        <v>494</v>
      </c>
      <c r="E18" s="1" t="s">
        <v>548</v>
      </c>
      <c r="F18" s="1" t="s">
        <v>352</v>
      </c>
      <c r="G18" s="1" t="s">
        <v>500</v>
      </c>
      <c r="H18" s="1"/>
      <c r="I18" s="16"/>
      <c r="J18" s="1" t="s">
        <v>61</v>
      </c>
      <c r="K18" s="1" t="s">
        <v>517</v>
      </c>
      <c r="L18" s="1"/>
      <c r="M18" s="29">
        <v>0</v>
      </c>
      <c r="N18" s="29">
        <v>59.9</v>
      </c>
      <c r="O18" s="16">
        <v>1</v>
      </c>
      <c r="P18" s="1" t="s">
        <v>514</v>
      </c>
      <c r="Q18" s="1"/>
      <c r="R18" s="1"/>
      <c r="S18" s="1"/>
      <c r="T18" s="1" t="s">
        <v>61</v>
      </c>
      <c r="U18" s="1" t="s">
        <v>60</v>
      </c>
      <c r="V18" s="1" t="s">
        <v>523</v>
      </c>
      <c r="W18" s="1"/>
      <c r="X18" s="1"/>
      <c r="Y18" s="1" t="s">
        <v>524</v>
      </c>
      <c r="Z18" s="1"/>
      <c r="AA18" s="1" t="s">
        <v>60</v>
      </c>
      <c r="AB18" s="16">
        <v>0</v>
      </c>
    </row>
    <row r="19" spans="1:28" ht="60" x14ac:dyDescent="0.25">
      <c r="A19" s="30" t="s">
        <v>367</v>
      </c>
      <c r="B19" s="30"/>
      <c r="C19" s="30" t="s">
        <v>531</v>
      </c>
      <c r="D19" s="33" t="s">
        <v>495</v>
      </c>
      <c r="E19" s="1" t="s">
        <v>549</v>
      </c>
      <c r="F19" s="1" t="s">
        <v>352</v>
      </c>
      <c r="G19" s="1" t="s">
        <v>521</v>
      </c>
      <c r="H19" s="1"/>
      <c r="I19" s="16"/>
      <c r="J19" s="1" t="s">
        <v>536</v>
      </c>
      <c r="K19" s="1" t="s">
        <v>517</v>
      </c>
      <c r="L19" s="1"/>
      <c r="M19" s="29">
        <v>0</v>
      </c>
      <c r="N19" s="29">
        <v>59.5</v>
      </c>
      <c r="O19" s="16">
        <v>61</v>
      </c>
      <c r="P19" s="1" t="s">
        <v>514</v>
      </c>
      <c r="Q19" s="1"/>
      <c r="R19" s="1"/>
      <c r="S19" s="1"/>
      <c r="T19" s="1" t="s">
        <v>61</v>
      </c>
      <c r="U19" s="1" t="s">
        <v>60</v>
      </c>
      <c r="V19" s="1" t="s">
        <v>523</v>
      </c>
      <c r="W19" s="1"/>
      <c r="X19" s="1"/>
      <c r="Y19" s="1" t="s">
        <v>524</v>
      </c>
      <c r="Z19" s="1"/>
      <c r="AA19" s="1" t="s">
        <v>60</v>
      </c>
      <c r="AB19" s="16">
        <v>2</v>
      </c>
    </row>
    <row r="20" spans="1:28" ht="45" x14ac:dyDescent="0.25">
      <c r="A20" s="30" t="s">
        <v>368</v>
      </c>
      <c r="B20" s="30"/>
      <c r="C20" s="30" t="s">
        <v>535</v>
      </c>
      <c r="D20" s="33" t="s">
        <v>496</v>
      </c>
      <c r="E20" s="1" t="s">
        <v>550</v>
      </c>
      <c r="F20" s="1" t="s">
        <v>528</v>
      </c>
      <c r="G20" s="1" t="s">
        <v>501</v>
      </c>
      <c r="H20" s="1"/>
      <c r="I20" s="16"/>
      <c r="J20" s="1" t="s">
        <v>60</v>
      </c>
      <c r="K20" t="s">
        <v>515</v>
      </c>
      <c r="L20" s="1"/>
      <c r="M20" s="29">
        <v>0</v>
      </c>
      <c r="N20" s="29">
        <v>0</v>
      </c>
      <c r="O20" s="16">
        <v>1</v>
      </c>
      <c r="P20" s="1" t="s">
        <v>514</v>
      </c>
      <c r="Q20" s="1"/>
      <c r="R20" s="1"/>
      <c r="S20" s="1"/>
      <c r="T20" s="1" t="s">
        <v>61</v>
      </c>
      <c r="U20" s="1" t="s">
        <v>61</v>
      </c>
      <c r="V20" s="1" t="s">
        <v>523</v>
      </c>
      <c r="W20" s="1"/>
      <c r="X20" s="1"/>
      <c r="Y20" s="1" t="s">
        <v>329</v>
      </c>
      <c r="Z20" s="1"/>
      <c r="AA20" s="1" t="s">
        <v>60</v>
      </c>
      <c r="AB20" s="16">
        <v>4</v>
      </c>
    </row>
    <row r="21" spans="1:28" ht="30" x14ac:dyDescent="0.25">
      <c r="A21" s="30" t="s">
        <v>369</v>
      </c>
      <c r="B21" s="30"/>
      <c r="C21" s="30" t="s">
        <v>535</v>
      </c>
      <c r="D21" s="33" t="s">
        <v>497</v>
      </c>
      <c r="E21" s="1" t="s">
        <v>545</v>
      </c>
      <c r="F21" s="1" t="s">
        <v>529</v>
      </c>
      <c r="G21" s="1" t="s">
        <v>502</v>
      </c>
      <c r="H21" s="1"/>
      <c r="I21" s="16"/>
      <c r="J21" s="1" t="s">
        <v>60</v>
      </c>
      <c r="K21" t="s">
        <v>518</v>
      </c>
      <c r="L21" s="1"/>
      <c r="M21" s="29">
        <v>0</v>
      </c>
      <c r="N21" s="29">
        <v>0</v>
      </c>
      <c r="O21" s="16">
        <v>3</v>
      </c>
      <c r="P21" s="1" t="s">
        <v>514</v>
      </c>
      <c r="Q21" s="1"/>
      <c r="R21" s="1"/>
      <c r="S21" s="1"/>
      <c r="T21" s="1" t="s">
        <v>61</v>
      </c>
      <c r="U21" s="1" t="s">
        <v>60</v>
      </c>
      <c r="V21" s="1" t="s">
        <v>523</v>
      </c>
      <c r="W21" s="1"/>
      <c r="X21" s="1"/>
      <c r="Y21" s="1" t="s">
        <v>524</v>
      </c>
      <c r="Z21" s="1"/>
      <c r="AA21" s="1" t="s">
        <v>60</v>
      </c>
      <c r="AB21" s="16">
        <v>0</v>
      </c>
    </row>
    <row r="22" spans="1:28" ht="30" x14ac:dyDescent="0.25">
      <c r="A22" s="30" t="s">
        <v>475</v>
      </c>
      <c r="B22" s="30"/>
      <c r="C22" s="30" t="s">
        <v>537</v>
      </c>
      <c r="D22" s="33" t="s">
        <v>539</v>
      </c>
      <c r="E22" s="1" t="s">
        <v>543</v>
      </c>
      <c r="F22" s="1" t="s">
        <v>557</v>
      </c>
      <c r="G22" s="1" t="s">
        <v>521</v>
      </c>
      <c r="H22" s="1"/>
      <c r="I22" s="16"/>
      <c r="J22" s="1" t="s">
        <v>61</v>
      </c>
      <c r="K22" s="1" t="s">
        <v>516</v>
      </c>
      <c r="L22" s="1"/>
      <c r="M22" s="29">
        <v>0</v>
      </c>
      <c r="N22" s="29">
        <v>0</v>
      </c>
      <c r="O22" s="16">
        <v>1</v>
      </c>
      <c r="P22" s="1" t="s">
        <v>509</v>
      </c>
      <c r="Q22" s="1"/>
      <c r="R22" s="1"/>
      <c r="S22" s="1"/>
      <c r="T22" s="1" t="s">
        <v>61</v>
      </c>
      <c r="U22" s="1" t="s">
        <v>61</v>
      </c>
      <c r="V22" s="1" t="s">
        <v>523</v>
      </c>
      <c r="W22" s="1"/>
      <c r="X22" s="1"/>
      <c r="Y22" s="1" t="s">
        <v>526</v>
      </c>
      <c r="Z22" s="1"/>
      <c r="AA22" s="1" t="s">
        <v>60</v>
      </c>
      <c r="AB22" s="16">
        <v>4</v>
      </c>
    </row>
    <row r="23" spans="1:28" ht="75" x14ac:dyDescent="0.25">
      <c r="A23" s="30" t="s">
        <v>506</v>
      </c>
      <c r="B23" s="30"/>
      <c r="C23" s="30" t="s">
        <v>534</v>
      </c>
      <c r="D23" s="33" t="s">
        <v>540</v>
      </c>
      <c r="E23" s="1" t="s">
        <v>544</v>
      </c>
      <c r="F23" s="1" t="s">
        <v>558</v>
      </c>
      <c r="G23" s="1" t="s">
        <v>521</v>
      </c>
      <c r="H23" s="1"/>
      <c r="I23" s="16"/>
      <c r="J23" s="1" t="s">
        <v>61</v>
      </c>
      <c r="K23" s="1" t="s">
        <v>516</v>
      </c>
      <c r="L23" s="1"/>
      <c r="M23" s="29"/>
      <c r="N23" s="29">
        <v>367.83</v>
      </c>
      <c r="O23" s="16">
        <v>3</v>
      </c>
      <c r="P23" s="1" t="s">
        <v>509</v>
      </c>
      <c r="Q23" s="1"/>
      <c r="R23" s="1"/>
      <c r="S23" s="1"/>
      <c r="T23" s="1" t="s">
        <v>61</v>
      </c>
      <c r="U23" s="1" t="s">
        <v>61</v>
      </c>
      <c r="V23" s="1" t="s">
        <v>523</v>
      </c>
      <c r="W23" s="1"/>
      <c r="X23" s="1"/>
      <c r="Y23" s="1" t="s">
        <v>526</v>
      </c>
      <c r="Z23" s="1"/>
      <c r="AA23" s="1" t="s">
        <v>60</v>
      </c>
      <c r="AB23" s="16">
        <v>2</v>
      </c>
    </row>
    <row r="24" spans="1:28" ht="45" x14ac:dyDescent="0.25">
      <c r="A24" s="30" t="s">
        <v>512</v>
      </c>
      <c r="B24" s="30"/>
      <c r="C24" s="30" t="s">
        <v>538</v>
      </c>
      <c r="D24" s="33" t="s">
        <v>542</v>
      </c>
      <c r="E24" s="1" t="s">
        <v>544</v>
      </c>
      <c r="F24" s="1"/>
      <c r="G24" s="1" t="s">
        <v>521</v>
      </c>
      <c r="H24" s="1"/>
      <c r="I24" s="16"/>
      <c r="J24" s="1" t="s">
        <v>61</v>
      </c>
      <c r="K24" s="1" t="s">
        <v>516</v>
      </c>
      <c r="L24" s="1"/>
      <c r="M24" s="29">
        <v>2700</v>
      </c>
      <c r="N24" s="29">
        <v>0</v>
      </c>
      <c r="O24" s="16">
        <v>4</v>
      </c>
      <c r="P24" s="1" t="s">
        <v>509</v>
      </c>
      <c r="Q24" s="1"/>
      <c r="R24" s="1"/>
      <c r="S24" s="1"/>
      <c r="T24" s="1" t="s">
        <v>61</v>
      </c>
      <c r="U24" s="1" t="s">
        <v>61</v>
      </c>
      <c r="V24" s="1" t="s">
        <v>523</v>
      </c>
      <c r="W24" s="1"/>
      <c r="X24" s="1"/>
      <c r="Y24" s="1" t="s">
        <v>526</v>
      </c>
      <c r="Z24" s="1"/>
      <c r="AA24" s="1" t="s">
        <v>60</v>
      </c>
      <c r="AB24" s="16">
        <v>1</v>
      </c>
    </row>
    <row r="25" spans="1:28" x14ac:dyDescent="0.25">
      <c r="A25" s="30" t="s">
        <v>575</v>
      </c>
      <c r="B25" s="1"/>
      <c r="C25" s="1"/>
      <c r="D25" s="33"/>
      <c r="E25" s="1"/>
      <c r="F25" s="1"/>
      <c r="G25" s="1"/>
      <c r="H25" s="1"/>
      <c r="I25" s="16"/>
      <c r="J25" s="1"/>
      <c r="K25" s="1"/>
      <c r="L25" s="1"/>
      <c r="M25" s="1"/>
      <c r="N25" s="1"/>
      <c r="O25" s="16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6"/>
    </row>
    <row r="26" spans="1:28" x14ac:dyDescent="0.25">
      <c r="A26" s="30" t="s">
        <v>469</v>
      </c>
      <c r="B26" s="1"/>
      <c r="C26" s="1"/>
      <c r="D26" s="33"/>
      <c r="E26" s="1"/>
      <c r="F26" s="1"/>
      <c r="G26" s="1"/>
      <c r="H26" s="1"/>
      <c r="I26" s="16"/>
      <c r="J26" s="1"/>
      <c r="K26" s="1"/>
      <c r="L26" s="1"/>
      <c r="M26" s="1"/>
      <c r="N26" s="1"/>
      <c r="O26" s="16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6"/>
    </row>
    <row r="27" spans="1:28" x14ac:dyDescent="0.25">
      <c r="A27" s="30" t="s">
        <v>580</v>
      </c>
      <c r="B27" s="1"/>
      <c r="C27" s="1"/>
      <c r="D27" s="33"/>
      <c r="E27" s="1"/>
      <c r="F27" s="1"/>
      <c r="G27" s="1"/>
      <c r="H27" s="1"/>
      <c r="I27" s="16"/>
      <c r="J27" s="1"/>
      <c r="K27" s="1"/>
      <c r="L27" s="1"/>
      <c r="M27" s="1"/>
      <c r="N27" s="1"/>
      <c r="O27" s="16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6"/>
    </row>
    <row r="28" spans="1:28" x14ac:dyDescent="0.25">
      <c r="A28" s="30" t="s">
        <v>581</v>
      </c>
      <c r="B28" s="1"/>
      <c r="C28" s="1"/>
      <c r="D28" s="33"/>
      <c r="E28" s="1"/>
      <c r="F28" s="1"/>
      <c r="G28" s="1"/>
      <c r="H28" s="1"/>
      <c r="I28" s="16"/>
      <c r="J28" s="1"/>
      <c r="K28" s="1"/>
      <c r="L28" s="1"/>
      <c r="M28" s="1"/>
      <c r="N28" s="1"/>
      <c r="O28" s="16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6"/>
    </row>
    <row r="29" spans="1:28" x14ac:dyDescent="0.25">
      <c r="A29" s="30" t="s">
        <v>582</v>
      </c>
      <c r="B29" s="1"/>
      <c r="C29" s="1"/>
      <c r="D29" s="33"/>
      <c r="E29" s="1"/>
      <c r="F29" s="1"/>
      <c r="G29" s="1"/>
      <c r="H29" s="1"/>
      <c r="I29" s="16"/>
      <c r="J29" s="1"/>
      <c r="K29" s="1"/>
      <c r="L29" s="1"/>
      <c r="M29" s="1"/>
      <c r="N29" s="1"/>
      <c r="O29" s="16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6"/>
    </row>
    <row r="30" spans="1:28" x14ac:dyDescent="0.25">
      <c r="A30" s="30" t="s">
        <v>583</v>
      </c>
      <c r="B30" s="1"/>
      <c r="C30" s="1"/>
      <c r="D30" s="33"/>
      <c r="E30" s="1"/>
      <c r="F30" s="1"/>
      <c r="G30" s="1"/>
      <c r="H30" s="1"/>
      <c r="I30" s="16"/>
      <c r="J30" s="1"/>
      <c r="K30" s="1"/>
      <c r="L30" s="1"/>
      <c r="M30" s="1"/>
      <c r="N30" s="1"/>
      <c r="O30" s="16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6"/>
    </row>
    <row r="31" spans="1:28" x14ac:dyDescent="0.25">
      <c r="A31" s="30" t="s">
        <v>584</v>
      </c>
      <c r="B31" s="1"/>
      <c r="C31" s="1"/>
      <c r="D31" s="33"/>
      <c r="E31" s="1"/>
      <c r="F31" s="1"/>
      <c r="G31" s="1"/>
      <c r="H31" s="1"/>
      <c r="I31" s="16"/>
      <c r="J31" s="1"/>
      <c r="K31" s="1"/>
      <c r="L31" s="1"/>
      <c r="M31" s="1"/>
      <c r="N31" s="1"/>
      <c r="O31" s="16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6"/>
    </row>
    <row r="32" spans="1:28" x14ac:dyDescent="0.25">
      <c r="A32" s="30" t="s">
        <v>585</v>
      </c>
      <c r="B32" s="1"/>
      <c r="C32" s="1"/>
      <c r="D32" s="33"/>
      <c r="E32" s="1"/>
      <c r="F32" s="1"/>
      <c r="G32" s="1"/>
      <c r="H32" s="1"/>
      <c r="I32" s="16"/>
      <c r="J32" s="1"/>
      <c r="K32" s="1"/>
      <c r="L32" s="1"/>
      <c r="M32" s="1"/>
      <c r="N32" s="1"/>
      <c r="O32" s="16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6"/>
    </row>
    <row r="33" spans="1:28" x14ac:dyDescent="0.25">
      <c r="A33" s="30" t="s">
        <v>586</v>
      </c>
      <c r="B33" s="1"/>
      <c r="C33" s="1"/>
      <c r="D33" s="33"/>
      <c r="E33" s="1"/>
      <c r="F33" s="1"/>
      <c r="G33" s="1"/>
      <c r="H33" s="1"/>
      <c r="I33" s="16"/>
      <c r="J33" s="1"/>
      <c r="K33" s="1"/>
      <c r="L33" s="1"/>
      <c r="M33" s="1"/>
      <c r="N33" s="1"/>
      <c r="O33" s="16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6"/>
    </row>
    <row r="34" spans="1:28" x14ac:dyDescent="0.25">
      <c r="A34" s="30" t="s">
        <v>587</v>
      </c>
      <c r="B34" s="1"/>
      <c r="C34" s="1"/>
      <c r="D34" s="33"/>
      <c r="E34" s="1"/>
      <c r="F34" s="1"/>
      <c r="G34" s="1"/>
      <c r="H34" s="1"/>
      <c r="I34" s="16"/>
      <c r="J34" s="1"/>
      <c r="K34" s="1"/>
      <c r="L34" s="1"/>
      <c r="M34" s="1"/>
      <c r="N34" s="1"/>
      <c r="O34" s="16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6"/>
    </row>
    <row r="35" spans="1:28" x14ac:dyDescent="0.25">
      <c r="A35" s="30" t="s">
        <v>588</v>
      </c>
      <c r="B35" s="1"/>
      <c r="C35" s="1"/>
      <c r="D35" s="33"/>
      <c r="E35" s="1"/>
      <c r="F35" s="1"/>
      <c r="G35" s="1"/>
      <c r="H35" s="1"/>
      <c r="I35" s="16"/>
      <c r="J35" s="1"/>
      <c r="K35" s="1"/>
      <c r="L35" s="1"/>
      <c r="M35" s="1"/>
      <c r="N35" s="1"/>
      <c r="O35" s="16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6"/>
    </row>
    <row r="36" spans="1:28" x14ac:dyDescent="0.25">
      <c r="A36" s="30" t="s">
        <v>589</v>
      </c>
      <c r="B36" s="1"/>
      <c r="C36" s="1"/>
      <c r="D36" s="33"/>
      <c r="E36" s="1"/>
      <c r="F36" s="1"/>
      <c r="G36" s="1"/>
      <c r="H36" s="1"/>
      <c r="I36" s="16"/>
      <c r="J36" s="1"/>
      <c r="K36" s="1"/>
      <c r="L36" s="1"/>
      <c r="M36" s="1"/>
      <c r="N36" s="1"/>
      <c r="O36" s="16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6"/>
    </row>
    <row r="37" spans="1:28" x14ac:dyDescent="0.25">
      <c r="A37" s="30" t="s">
        <v>590</v>
      </c>
      <c r="B37" s="1"/>
      <c r="C37" s="1"/>
      <c r="D37" s="33"/>
      <c r="E37" s="1"/>
      <c r="F37" s="1"/>
      <c r="G37" s="1"/>
      <c r="H37" s="1"/>
      <c r="I37" s="16"/>
      <c r="J37" s="1"/>
      <c r="K37" s="1"/>
      <c r="L37" s="1"/>
      <c r="M37" s="1"/>
      <c r="N37" s="1"/>
      <c r="O37" s="16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6"/>
    </row>
    <row r="38" spans="1:28" x14ac:dyDescent="0.25">
      <c r="A38" s="30" t="s">
        <v>591</v>
      </c>
      <c r="B38" s="1"/>
      <c r="C38" s="1"/>
      <c r="D38" s="33"/>
      <c r="E38" s="1"/>
      <c r="F38" s="1"/>
      <c r="G38" s="1"/>
      <c r="H38" s="1"/>
      <c r="I38" s="16"/>
      <c r="J38" s="1"/>
      <c r="K38" s="1"/>
      <c r="L38" s="1"/>
      <c r="M38" s="1"/>
      <c r="N38" s="1"/>
      <c r="O38" s="16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6"/>
    </row>
    <row r="39" spans="1:28" x14ac:dyDescent="0.25">
      <c r="A39" s="30" t="s">
        <v>592</v>
      </c>
      <c r="B39" s="1"/>
      <c r="C39" s="1"/>
      <c r="D39" s="33"/>
      <c r="E39" s="1"/>
      <c r="F39" s="1"/>
      <c r="G39" s="1"/>
      <c r="H39" s="1"/>
      <c r="I39" s="16"/>
      <c r="J39" s="1"/>
      <c r="K39" s="1"/>
      <c r="L39" s="1"/>
      <c r="M39" s="1"/>
      <c r="N39" s="1"/>
      <c r="O39" s="16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6"/>
    </row>
    <row r="40" spans="1:28" x14ac:dyDescent="0.25">
      <c r="A40" s="30" t="s">
        <v>593</v>
      </c>
      <c r="B40" s="1"/>
      <c r="C40" s="1"/>
      <c r="D40" s="33"/>
      <c r="E40" s="1"/>
      <c r="F40" s="1"/>
      <c r="G40" s="1"/>
      <c r="H40" s="1"/>
      <c r="I40" s="16"/>
      <c r="J40" s="1"/>
      <c r="K40" s="1"/>
      <c r="L40" s="1"/>
      <c r="M40" s="1"/>
      <c r="N40" s="1"/>
      <c r="O40" s="16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6"/>
    </row>
    <row r="41" spans="1:28" x14ac:dyDescent="0.25">
      <c r="A41" s="32" t="s">
        <v>594</v>
      </c>
    </row>
    <row r="42" spans="1:28" x14ac:dyDescent="0.25">
      <c r="A42" s="32" t="s">
        <v>595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D13"/>
  <sheetViews>
    <sheetView workbookViewId="0">
      <selection activeCell="B22" sqref="B22"/>
    </sheetView>
  </sheetViews>
  <sheetFormatPr defaultRowHeight="15" x14ac:dyDescent="0.25"/>
  <cols>
    <col min="1" max="1" width="26.5703125" bestFit="1" customWidth="1"/>
    <col min="2" max="2" width="41" bestFit="1" customWidth="1"/>
    <col min="3" max="3" width="9.85546875" bestFit="1" customWidth="1"/>
  </cols>
  <sheetData>
    <row r="3" spans="1:4" x14ac:dyDescent="0.25">
      <c r="A3" s="3" t="s">
        <v>47</v>
      </c>
      <c r="B3" s="3" t="s">
        <v>48</v>
      </c>
      <c r="C3" s="3" t="s">
        <v>49</v>
      </c>
      <c r="D3" s="3" t="s">
        <v>50</v>
      </c>
    </row>
    <row r="4" spans="1:4" x14ac:dyDescent="0.25">
      <c r="A4" s="1" t="s">
        <v>370</v>
      </c>
      <c r="B4" s="1"/>
      <c r="C4" s="1"/>
      <c r="D4" s="1"/>
    </row>
    <row r="5" spans="1:4" x14ac:dyDescent="0.25">
      <c r="A5" s="1" t="s">
        <v>371</v>
      </c>
      <c r="B5" s="1"/>
      <c r="C5" s="1"/>
      <c r="D5" s="1"/>
    </row>
    <row r="6" spans="1:4" x14ac:dyDescent="0.25">
      <c r="A6" s="1" t="s">
        <v>418</v>
      </c>
      <c r="B6" s="1"/>
      <c r="C6" s="1"/>
      <c r="D6" s="1"/>
    </row>
    <row r="7" spans="1:4" x14ac:dyDescent="0.25">
      <c r="A7" s="1" t="s">
        <v>419</v>
      </c>
      <c r="B7" s="1"/>
      <c r="C7" s="1"/>
      <c r="D7" s="1"/>
    </row>
    <row r="8" spans="1:4" x14ac:dyDescent="0.25">
      <c r="A8" s="1" t="s">
        <v>420</v>
      </c>
      <c r="B8" s="1"/>
      <c r="C8" s="1"/>
      <c r="D8" s="1"/>
    </row>
    <row r="9" spans="1:4" x14ac:dyDescent="0.25">
      <c r="A9" s="1" t="s">
        <v>421</v>
      </c>
      <c r="B9" s="1"/>
      <c r="C9" s="1"/>
      <c r="D9" s="1"/>
    </row>
    <row r="10" spans="1:4" x14ac:dyDescent="0.25">
      <c r="A10" s="1" t="s">
        <v>422</v>
      </c>
      <c r="B10" s="1"/>
      <c r="C10" s="1"/>
      <c r="D10" s="1"/>
    </row>
    <row r="11" spans="1:4" x14ac:dyDescent="0.25">
      <c r="A11" s="1" t="s">
        <v>423</v>
      </c>
      <c r="B11" s="1"/>
      <c r="C11" s="1"/>
      <c r="D11" s="1"/>
    </row>
    <row r="12" spans="1:4" x14ac:dyDescent="0.25">
      <c r="A12" s="1" t="s">
        <v>505</v>
      </c>
      <c r="B12" s="1"/>
      <c r="C12" s="1"/>
      <c r="D12" s="1"/>
    </row>
    <row r="13" spans="1:4" x14ac:dyDescent="0.25">
      <c r="A13" s="1"/>
      <c r="B13" s="1"/>
      <c r="C13" s="1"/>
      <c r="D13" s="1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M29" sqref="M29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N15" sqref="N15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19565-D39F-4FE8-9E5B-70AA7529344B}">
  <dimension ref="A1:L71"/>
  <sheetViews>
    <sheetView workbookViewId="0">
      <selection activeCell="D25" sqref="D25"/>
    </sheetView>
  </sheetViews>
  <sheetFormatPr defaultRowHeight="15" x14ac:dyDescent="0.25"/>
  <cols>
    <col min="1" max="1" width="10.7109375" bestFit="1" customWidth="1"/>
    <col min="2" max="2" width="13.140625" bestFit="1" customWidth="1"/>
    <col min="3" max="3" width="16.7109375" bestFit="1" customWidth="1"/>
    <col min="4" max="4" width="24.5703125" bestFit="1" customWidth="1"/>
    <col min="5" max="5" width="16.28515625" bestFit="1" customWidth="1"/>
    <col min="6" max="6" width="9.42578125" bestFit="1" customWidth="1"/>
    <col min="7" max="7" width="12.28515625" bestFit="1" customWidth="1"/>
    <col min="10" max="10" width="13" bestFit="1" customWidth="1"/>
    <col min="11" max="11" width="11.140625" bestFit="1" customWidth="1"/>
    <col min="12" max="12" width="10.42578125" bestFit="1" customWidth="1"/>
  </cols>
  <sheetData>
    <row r="1" spans="1:11" x14ac:dyDescent="0.25">
      <c r="A1" s="7" t="s">
        <v>470</v>
      </c>
      <c r="B1" s="7" t="s">
        <v>0</v>
      </c>
      <c r="C1" s="7" t="s">
        <v>1</v>
      </c>
      <c r="D1" s="7" t="s">
        <v>8</v>
      </c>
      <c r="E1" s="7" t="s">
        <v>471</v>
      </c>
      <c r="F1" s="7" t="s">
        <v>472</v>
      </c>
      <c r="G1" s="15" t="s">
        <v>16</v>
      </c>
      <c r="J1" t="s">
        <v>16</v>
      </c>
      <c r="K1" t="s">
        <v>470</v>
      </c>
    </row>
    <row r="2" spans="1:11" x14ac:dyDescent="0.25">
      <c r="A2" s="16">
        <v>1</v>
      </c>
      <c r="B2" s="1" t="s">
        <v>96</v>
      </c>
      <c r="C2" s="1" t="s">
        <v>65</v>
      </c>
      <c r="D2" s="17" t="s">
        <v>106</v>
      </c>
      <c r="E2" s="18">
        <v>2010</v>
      </c>
      <c r="F2" s="18">
        <v>2025</v>
      </c>
      <c r="G2" s="19">
        <f t="shared" ref="G2:G33" si="0">F2-E2</f>
        <v>15</v>
      </c>
      <c r="J2" s="21">
        <v>15</v>
      </c>
      <c r="K2" s="21">
        <v>9</v>
      </c>
    </row>
    <row r="3" spans="1:11" x14ac:dyDescent="0.25">
      <c r="A3" s="16">
        <v>2</v>
      </c>
      <c r="B3" s="1" t="s">
        <v>336</v>
      </c>
      <c r="C3" s="1" t="s">
        <v>329</v>
      </c>
      <c r="D3" s="1" t="s">
        <v>338</v>
      </c>
      <c r="E3" s="18">
        <v>2010</v>
      </c>
      <c r="F3" s="18">
        <v>2025</v>
      </c>
      <c r="G3" s="19">
        <f t="shared" si="0"/>
        <v>15</v>
      </c>
      <c r="J3" s="21">
        <v>14</v>
      </c>
      <c r="K3" s="21">
        <v>5</v>
      </c>
    </row>
    <row r="4" spans="1:11" x14ac:dyDescent="0.25">
      <c r="A4" s="16">
        <v>3</v>
      </c>
      <c r="B4" s="1" t="s">
        <v>342</v>
      </c>
      <c r="C4" s="1" t="s">
        <v>329</v>
      </c>
      <c r="D4" s="1" t="s">
        <v>344</v>
      </c>
      <c r="E4" s="20">
        <v>2010</v>
      </c>
      <c r="F4" s="18">
        <v>2025</v>
      </c>
      <c r="G4" s="19">
        <f t="shared" si="0"/>
        <v>15</v>
      </c>
      <c r="J4" s="21">
        <v>13</v>
      </c>
      <c r="K4" s="21">
        <v>1</v>
      </c>
    </row>
    <row r="5" spans="1:11" x14ac:dyDescent="0.25">
      <c r="A5" s="16">
        <v>4</v>
      </c>
      <c r="B5" s="1" t="s">
        <v>348</v>
      </c>
      <c r="C5" s="1" t="s">
        <v>329</v>
      </c>
      <c r="D5" s="1" t="s">
        <v>344</v>
      </c>
      <c r="E5" s="18">
        <v>2010</v>
      </c>
      <c r="F5" s="18">
        <v>2025</v>
      </c>
      <c r="G5" s="19">
        <f t="shared" si="0"/>
        <v>15</v>
      </c>
      <c r="J5" s="21">
        <v>12</v>
      </c>
      <c r="K5" s="21">
        <v>7</v>
      </c>
    </row>
    <row r="6" spans="1:11" x14ac:dyDescent="0.25">
      <c r="A6" s="16">
        <v>5</v>
      </c>
      <c r="B6" s="1" t="s">
        <v>350</v>
      </c>
      <c r="C6" s="1" t="s">
        <v>351</v>
      </c>
      <c r="D6" s="1" t="s">
        <v>344</v>
      </c>
      <c r="E6" s="20">
        <v>2010</v>
      </c>
      <c r="F6" s="18">
        <v>2025</v>
      </c>
      <c r="G6" s="19">
        <f t="shared" si="0"/>
        <v>15</v>
      </c>
      <c r="J6" s="21"/>
      <c r="K6" s="21"/>
    </row>
    <row r="7" spans="1:11" x14ac:dyDescent="0.25">
      <c r="A7" s="16">
        <v>6</v>
      </c>
      <c r="B7" s="1" t="s">
        <v>355</v>
      </c>
      <c r="C7" s="1" t="s">
        <v>351</v>
      </c>
      <c r="D7" s="1" t="s">
        <v>344</v>
      </c>
      <c r="E7" s="18">
        <v>2010</v>
      </c>
      <c r="F7" s="18">
        <v>2025</v>
      </c>
      <c r="G7" s="19">
        <f t="shared" si="0"/>
        <v>15</v>
      </c>
      <c r="J7" s="21"/>
      <c r="K7" s="21"/>
    </row>
    <row r="8" spans="1:11" x14ac:dyDescent="0.25">
      <c r="A8" s="16">
        <v>7</v>
      </c>
      <c r="B8" s="1" t="s">
        <v>356</v>
      </c>
      <c r="C8" s="1" t="s">
        <v>351</v>
      </c>
      <c r="D8" s="1" t="s">
        <v>344</v>
      </c>
      <c r="E8" s="20">
        <v>2010</v>
      </c>
      <c r="F8" s="18">
        <v>2025</v>
      </c>
      <c r="G8" s="19">
        <f t="shared" si="0"/>
        <v>15</v>
      </c>
      <c r="J8" s="21"/>
      <c r="K8" s="21"/>
    </row>
    <row r="9" spans="1:11" x14ac:dyDescent="0.25">
      <c r="A9" s="16">
        <v>8</v>
      </c>
      <c r="B9" s="1" t="s">
        <v>357</v>
      </c>
      <c r="C9" s="1" t="s">
        <v>351</v>
      </c>
      <c r="D9" s="1" t="s">
        <v>344</v>
      </c>
      <c r="E9" s="18">
        <v>2010</v>
      </c>
      <c r="F9" s="18">
        <v>2025</v>
      </c>
      <c r="G9" s="19">
        <f t="shared" si="0"/>
        <v>15</v>
      </c>
      <c r="J9" s="21"/>
      <c r="K9" s="21"/>
    </row>
    <row r="10" spans="1:11" x14ac:dyDescent="0.25">
      <c r="A10" s="16">
        <v>9</v>
      </c>
      <c r="B10" s="1" t="s">
        <v>359</v>
      </c>
      <c r="C10" s="1" t="s">
        <v>351</v>
      </c>
      <c r="D10" s="1" t="s">
        <v>344</v>
      </c>
      <c r="E10" s="16">
        <v>2010</v>
      </c>
      <c r="F10" s="18">
        <v>2025</v>
      </c>
      <c r="G10" s="19">
        <f t="shared" si="0"/>
        <v>15</v>
      </c>
      <c r="J10" s="21"/>
      <c r="K10" s="21"/>
    </row>
    <row r="11" spans="1:11" x14ac:dyDescent="0.25">
      <c r="A11" s="16">
        <v>10</v>
      </c>
      <c r="B11" s="1" t="s">
        <v>102</v>
      </c>
      <c r="C11" s="1" t="s">
        <v>65</v>
      </c>
      <c r="D11" s="1" t="s">
        <v>128</v>
      </c>
      <c r="E11" s="18">
        <v>2011</v>
      </c>
      <c r="F11" s="18">
        <v>2025</v>
      </c>
      <c r="G11" s="19">
        <f t="shared" si="0"/>
        <v>14</v>
      </c>
      <c r="J11" s="21"/>
      <c r="K11" s="21"/>
    </row>
    <row r="12" spans="1:11" x14ac:dyDescent="0.25">
      <c r="A12" s="16">
        <v>11</v>
      </c>
      <c r="B12" s="1" t="s">
        <v>188</v>
      </c>
      <c r="C12" s="1" t="s">
        <v>65</v>
      </c>
      <c r="D12" s="1" t="s">
        <v>195</v>
      </c>
      <c r="E12" s="18">
        <v>2011</v>
      </c>
      <c r="F12" s="18">
        <v>2025</v>
      </c>
      <c r="G12" s="19">
        <f t="shared" si="0"/>
        <v>14</v>
      </c>
      <c r="J12" s="21"/>
      <c r="K12" s="21"/>
    </row>
    <row r="13" spans="1:11" x14ac:dyDescent="0.25">
      <c r="A13" s="16">
        <v>12</v>
      </c>
      <c r="B13" s="1" t="s">
        <v>245</v>
      </c>
      <c r="C13" s="1" t="s">
        <v>65</v>
      </c>
      <c r="D13" s="1" t="s">
        <v>117</v>
      </c>
      <c r="E13" s="18">
        <v>2011</v>
      </c>
      <c r="F13" s="18">
        <v>2025</v>
      </c>
      <c r="G13" s="19">
        <f t="shared" si="0"/>
        <v>14</v>
      </c>
      <c r="J13" s="21"/>
      <c r="K13" s="21"/>
    </row>
    <row r="14" spans="1:11" x14ac:dyDescent="0.25">
      <c r="A14" s="16">
        <v>13</v>
      </c>
      <c r="B14" s="1" t="s">
        <v>253</v>
      </c>
      <c r="C14" s="1" t="s">
        <v>65</v>
      </c>
      <c r="D14" s="1" t="s">
        <v>195</v>
      </c>
      <c r="E14" s="18">
        <v>2011</v>
      </c>
      <c r="F14" s="18">
        <v>2025</v>
      </c>
      <c r="G14" s="19">
        <f t="shared" si="0"/>
        <v>14</v>
      </c>
      <c r="J14" s="21"/>
      <c r="K14" s="21"/>
    </row>
    <row r="15" spans="1:11" x14ac:dyDescent="0.25">
      <c r="A15" s="16">
        <v>14</v>
      </c>
      <c r="B15" s="1" t="s">
        <v>328</v>
      </c>
      <c r="C15" s="1" t="s">
        <v>65</v>
      </c>
      <c r="D15" s="1" t="s">
        <v>320</v>
      </c>
      <c r="E15" s="18">
        <v>2011</v>
      </c>
      <c r="F15" s="18">
        <v>2025</v>
      </c>
      <c r="G15" s="19">
        <f t="shared" si="0"/>
        <v>14</v>
      </c>
    </row>
    <row r="16" spans="1:11" x14ac:dyDescent="0.25">
      <c r="A16" s="16">
        <v>15</v>
      </c>
      <c r="B16" s="1" t="s">
        <v>103</v>
      </c>
      <c r="C16" s="1" t="s">
        <v>58</v>
      </c>
      <c r="D16" s="1" t="s">
        <v>130</v>
      </c>
      <c r="E16" s="20">
        <v>2012</v>
      </c>
      <c r="F16" s="18">
        <v>2025</v>
      </c>
      <c r="G16" s="19">
        <f t="shared" si="0"/>
        <v>13</v>
      </c>
    </row>
    <row r="17" spans="1:12" x14ac:dyDescent="0.25">
      <c r="A17" s="16">
        <v>16</v>
      </c>
      <c r="B17" s="1" t="s">
        <v>78</v>
      </c>
      <c r="C17" s="1" t="s">
        <v>58</v>
      </c>
      <c r="D17" s="1" t="s">
        <v>113</v>
      </c>
      <c r="E17" s="20">
        <v>2013</v>
      </c>
      <c r="F17" s="18">
        <v>2025</v>
      </c>
      <c r="G17" s="19">
        <f t="shared" si="0"/>
        <v>12</v>
      </c>
    </row>
    <row r="18" spans="1:12" x14ac:dyDescent="0.25">
      <c r="A18" s="16">
        <v>17</v>
      </c>
      <c r="B18" s="1" t="s">
        <v>98</v>
      </c>
      <c r="C18" s="1" t="s">
        <v>58</v>
      </c>
      <c r="D18" s="1" t="s">
        <v>123</v>
      </c>
      <c r="E18" s="18">
        <v>2013</v>
      </c>
      <c r="F18" s="18">
        <v>2025</v>
      </c>
      <c r="G18" s="19">
        <f t="shared" si="0"/>
        <v>12</v>
      </c>
    </row>
    <row r="19" spans="1:12" x14ac:dyDescent="0.25">
      <c r="A19" s="16">
        <v>18</v>
      </c>
      <c r="B19" s="1" t="s">
        <v>248</v>
      </c>
      <c r="C19" s="1" t="s">
        <v>65</v>
      </c>
      <c r="D19" s="1" t="s">
        <v>221</v>
      </c>
      <c r="E19" s="20">
        <v>2013</v>
      </c>
      <c r="F19" s="18">
        <v>2025</v>
      </c>
      <c r="G19" s="19">
        <f t="shared" si="0"/>
        <v>12</v>
      </c>
    </row>
    <row r="20" spans="1:12" x14ac:dyDescent="0.25">
      <c r="A20" s="16">
        <v>19</v>
      </c>
      <c r="B20" s="1" t="s">
        <v>250</v>
      </c>
      <c r="C20" s="1" t="s">
        <v>65</v>
      </c>
      <c r="D20" s="1" t="s">
        <v>153</v>
      </c>
      <c r="E20" s="20">
        <v>2013</v>
      </c>
      <c r="F20" s="18">
        <v>2025</v>
      </c>
      <c r="G20" s="19">
        <f t="shared" si="0"/>
        <v>12</v>
      </c>
    </row>
    <row r="21" spans="1:12" x14ac:dyDescent="0.25">
      <c r="A21" s="16">
        <v>20</v>
      </c>
      <c r="B21" s="1" t="s">
        <v>257</v>
      </c>
      <c r="C21" s="1" t="s">
        <v>58</v>
      </c>
      <c r="D21" s="1" t="s">
        <v>238</v>
      </c>
      <c r="E21" s="18">
        <v>2013</v>
      </c>
      <c r="F21" s="18">
        <v>2025</v>
      </c>
      <c r="G21" s="19">
        <f t="shared" si="0"/>
        <v>12</v>
      </c>
    </row>
    <row r="22" spans="1:12" x14ac:dyDescent="0.25">
      <c r="A22" s="16">
        <v>21</v>
      </c>
      <c r="B22" s="1" t="s">
        <v>303</v>
      </c>
      <c r="C22" s="1" t="s">
        <v>65</v>
      </c>
      <c r="D22" s="1" t="s">
        <v>277</v>
      </c>
      <c r="E22" s="20">
        <v>2013</v>
      </c>
      <c r="F22" s="18">
        <v>2025</v>
      </c>
      <c r="G22" s="19">
        <f t="shared" si="0"/>
        <v>12</v>
      </c>
    </row>
    <row r="23" spans="1:12" x14ac:dyDescent="0.25">
      <c r="A23" s="16">
        <v>22</v>
      </c>
      <c r="B23" s="1" t="s">
        <v>304</v>
      </c>
      <c r="C23" s="1" t="s">
        <v>65</v>
      </c>
      <c r="D23" s="1" t="s">
        <v>223</v>
      </c>
      <c r="E23" s="18">
        <v>2013</v>
      </c>
      <c r="F23" s="18">
        <v>2025</v>
      </c>
      <c r="G23" s="19">
        <f t="shared" si="0"/>
        <v>12</v>
      </c>
    </row>
    <row r="24" spans="1:12" x14ac:dyDescent="0.25">
      <c r="A24" s="16">
        <v>23</v>
      </c>
      <c r="B24" s="1" t="s">
        <v>82</v>
      </c>
      <c r="C24" s="1" t="s">
        <v>58</v>
      </c>
      <c r="D24" s="1" t="s">
        <v>110</v>
      </c>
      <c r="E24" s="20">
        <v>2014</v>
      </c>
      <c r="F24" s="18">
        <v>2025</v>
      </c>
      <c r="G24" s="19">
        <f t="shared" si="0"/>
        <v>11</v>
      </c>
    </row>
    <row r="25" spans="1:12" x14ac:dyDescent="0.25">
      <c r="A25" s="16">
        <v>24</v>
      </c>
      <c r="B25" s="1" t="s">
        <v>83</v>
      </c>
      <c r="C25" s="1" t="s">
        <v>65</v>
      </c>
      <c r="D25" s="1" t="s">
        <v>108</v>
      </c>
      <c r="E25" s="18">
        <v>2014</v>
      </c>
      <c r="F25" s="18">
        <v>2025</v>
      </c>
      <c r="G25" s="19">
        <f t="shared" si="0"/>
        <v>11</v>
      </c>
    </row>
    <row r="26" spans="1:12" x14ac:dyDescent="0.25">
      <c r="A26" s="16">
        <v>25</v>
      </c>
      <c r="B26" s="1" t="s">
        <v>97</v>
      </c>
      <c r="C26" s="1" t="s">
        <v>65</v>
      </c>
      <c r="D26" s="1" t="s">
        <v>121</v>
      </c>
      <c r="E26" s="20">
        <v>2014</v>
      </c>
      <c r="F26" s="18">
        <v>2025</v>
      </c>
      <c r="G26" s="19">
        <f t="shared" si="0"/>
        <v>11</v>
      </c>
    </row>
    <row r="27" spans="1:12" x14ac:dyDescent="0.25">
      <c r="A27" s="16">
        <v>26</v>
      </c>
      <c r="B27" s="1" t="s">
        <v>193</v>
      </c>
      <c r="C27" s="1" t="s">
        <v>65</v>
      </c>
      <c r="D27" s="1" t="s">
        <v>196</v>
      </c>
      <c r="E27" s="20">
        <v>2014</v>
      </c>
      <c r="F27" s="18">
        <v>2025</v>
      </c>
      <c r="G27" s="19">
        <f t="shared" si="0"/>
        <v>11</v>
      </c>
    </row>
    <row r="28" spans="1:12" x14ac:dyDescent="0.25">
      <c r="A28" s="16">
        <v>27</v>
      </c>
      <c r="B28" s="1" t="s">
        <v>251</v>
      </c>
      <c r="C28" s="1" t="s">
        <v>65</v>
      </c>
      <c r="D28" s="1" t="s">
        <v>223</v>
      </c>
      <c r="E28" s="18">
        <v>2015</v>
      </c>
      <c r="F28" s="18">
        <v>2025</v>
      </c>
      <c r="G28" s="19">
        <f t="shared" si="0"/>
        <v>10</v>
      </c>
    </row>
    <row r="29" spans="1:12" x14ac:dyDescent="0.25">
      <c r="A29" s="16">
        <v>28</v>
      </c>
      <c r="B29" s="1" t="s">
        <v>252</v>
      </c>
      <c r="C29" s="1" t="s">
        <v>65</v>
      </c>
      <c r="D29" s="1" t="s">
        <v>158</v>
      </c>
      <c r="E29" s="20">
        <v>2015</v>
      </c>
      <c r="F29" s="18">
        <v>2025</v>
      </c>
      <c r="G29" s="19">
        <f t="shared" si="0"/>
        <v>10</v>
      </c>
    </row>
    <row r="30" spans="1:12" x14ac:dyDescent="0.25">
      <c r="A30" s="16">
        <v>29</v>
      </c>
      <c r="B30" s="1" t="s">
        <v>473</v>
      </c>
      <c r="C30" s="1" t="s">
        <v>65</v>
      </c>
      <c r="D30" s="1" t="s">
        <v>324</v>
      </c>
      <c r="E30" s="20">
        <v>2016</v>
      </c>
      <c r="F30" s="18">
        <v>2025</v>
      </c>
      <c r="G30" s="19">
        <f t="shared" si="0"/>
        <v>9</v>
      </c>
      <c r="L30" s="22"/>
    </row>
    <row r="31" spans="1:12" x14ac:dyDescent="0.25">
      <c r="A31" s="16">
        <v>30</v>
      </c>
      <c r="B31" s="1" t="s">
        <v>70</v>
      </c>
      <c r="C31" s="1" t="s">
        <v>58</v>
      </c>
      <c r="D31" s="1" t="s">
        <v>63</v>
      </c>
      <c r="E31" s="18">
        <v>2017</v>
      </c>
      <c r="F31" s="18">
        <v>2025</v>
      </c>
      <c r="G31" s="19">
        <f t="shared" si="0"/>
        <v>8</v>
      </c>
      <c r="L31" s="23"/>
    </row>
    <row r="32" spans="1:12" x14ac:dyDescent="0.25">
      <c r="A32" s="16">
        <v>31</v>
      </c>
      <c r="B32" s="1" t="s">
        <v>144</v>
      </c>
      <c r="C32" s="1" t="s">
        <v>65</v>
      </c>
      <c r="D32" s="1" t="s">
        <v>117</v>
      </c>
      <c r="E32" s="20">
        <v>2017</v>
      </c>
      <c r="F32" s="18">
        <v>2025</v>
      </c>
      <c r="G32" s="19">
        <f t="shared" si="0"/>
        <v>8</v>
      </c>
    </row>
    <row r="33" spans="1:7" x14ac:dyDescent="0.25">
      <c r="A33" s="16">
        <v>32</v>
      </c>
      <c r="B33" s="1" t="s">
        <v>300</v>
      </c>
      <c r="C33" s="1" t="s">
        <v>65</v>
      </c>
      <c r="D33" s="1" t="s">
        <v>266</v>
      </c>
      <c r="E33" s="18">
        <v>2017</v>
      </c>
      <c r="F33" s="18">
        <v>2025</v>
      </c>
      <c r="G33" s="19">
        <f t="shared" si="0"/>
        <v>8</v>
      </c>
    </row>
    <row r="34" spans="1:7" x14ac:dyDescent="0.25">
      <c r="A34" s="16">
        <v>33</v>
      </c>
      <c r="B34" s="1" t="s">
        <v>305</v>
      </c>
      <c r="C34" s="1" t="s">
        <v>65</v>
      </c>
      <c r="D34" s="1" t="s">
        <v>223</v>
      </c>
      <c r="E34" s="20">
        <v>2017</v>
      </c>
      <c r="F34" s="18">
        <v>2025</v>
      </c>
      <c r="G34" s="19">
        <f t="shared" ref="G34:G65" si="1">F34-E34</f>
        <v>8</v>
      </c>
    </row>
    <row r="35" spans="1:7" x14ac:dyDescent="0.25">
      <c r="A35" s="16">
        <v>34</v>
      </c>
      <c r="B35" s="1" t="s">
        <v>306</v>
      </c>
      <c r="C35" s="1" t="s">
        <v>65</v>
      </c>
      <c r="D35" s="1" t="s">
        <v>284</v>
      </c>
      <c r="E35" s="18">
        <v>2017</v>
      </c>
      <c r="F35" s="18">
        <v>2025</v>
      </c>
      <c r="G35" s="19">
        <f t="shared" si="1"/>
        <v>8</v>
      </c>
    </row>
    <row r="36" spans="1:7" x14ac:dyDescent="0.25">
      <c r="A36" s="16">
        <v>35</v>
      </c>
      <c r="B36" s="1" t="s">
        <v>308</v>
      </c>
      <c r="C36" s="1" t="s">
        <v>65</v>
      </c>
      <c r="D36" s="1" t="s">
        <v>292</v>
      </c>
      <c r="E36" s="18">
        <v>2017</v>
      </c>
      <c r="F36" s="18">
        <v>2025</v>
      </c>
      <c r="G36" s="19">
        <f t="shared" si="1"/>
        <v>8</v>
      </c>
    </row>
    <row r="37" spans="1:7" x14ac:dyDescent="0.25">
      <c r="A37" s="16">
        <v>36</v>
      </c>
      <c r="B37" s="1" t="s">
        <v>247</v>
      </c>
      <c r="C37" s="1" t="s">
        <v>65</v>
      </c>
      <c r="D37" s="1" t="s">
        <v>128</v>
      </c>
      <c r="E37" s="18">
        <v>2018</v>
      </c>
      <c r="F37" s="18">
        <v>2025</v>
      </c>
      <c r="G37" s="19">
        <f t="shared" si="1"/>
        <v>7</v>
      </c>
    </row>
    <row r="38" spans="1:7" x14ac:dyDescent="0.25">
      <c r="A38" s="16">
        <v>37</v>
      </c>
      <c r="B38" s="1" t="s">
        <v>95</v>
      </c>
      <c r="C38" s="1" t="s">
        <v>58</v>
      </c>
      <c r="D38" s="1" t="s">
        <v>106</v>
      </c>
      <c r="E38" s="20">
        <v>2019</v>
      </c>
      <c r="F38" s="18">
        <v>2025</v>
      </c>
      <c r="G38" s="19">
        <f t="shared" si="1"/>
        <v>6</v>
      </c>
    </row>
    <row r="39" spans="1:7" x14ac:dyDescent="0.25">
      <c r="A39" s="16">
        <v>38</v>
      </c>
      <c r="B39" s="1" t="s">
        <v>256</v>
      </c>
      <c r="C39" s="1" t="s">
        <v>65</v>
      </c>
      <c r="D39" s="1" t="s">
        <v>171</v>
      </c>
      <c r="E39" s="20">
        <v>2019</v>
      </c>
      <c r="F39" s="18">
        <v>2025</v>
      </c>
      <c r="G39" s="19">
        <f t="shared" si="1"/>
        <v>6</v>
      </c>
    </row>
    <row r="40" spans="1:7" x14ac:dyDescent="0.25">
      <c r="A40" s="16">
        <v>39</v>
      </c>
      <c r="B40" s="1" t="s">
        <v>79</v>
      </c>
      <c r="C40" s="1" t="s">
        <v>65</v>
      </c>
      <c r="D40" s="1" t="s">
        <v>115</v>
      </c>
      <c r="E40" s="18">
        <v>2020</v>
      </c>
      <c r="F40" s="18">
        <v>2025</v>
      </c>
      <c r="G40" s="19">
        <f t="shared" si="1"/>
        <v>5</v>
      </c>
    </row>
    <row r="41" spans="1:7" x14ac:dyDescent="0.25">
      <c r="A41" s="16">
        <v>40</v>
      </c>
      <c r="B41" s="1" t="s">
        <v>80</v>
      </c>
      <c r="C41" s="1" t="s">
        <v>58</v>
      </c>
      <c r="D41" s="1" t="s">
        <v>119</v>
      </c>
      <c r="E41" s="20">
        <v>2020</v>
      </c>
      <c r="F41" s="18">
        <v>2025</v>
      </c>
      <c r="G41" s="19">
        <f t="shared" si="1"/>
        <v>5</v>
      </c>
    </row>
    <row r="42" spans="1:7" x14ac:dyDescent="0.25">
      <c r="A42" s="16">
        <v>41</v>
      </c>
      <c r="B42" s="1" t="s">
        <v>81</v>
      </c>
      <c r="C42" s="1" t="s">
        <v>65</v>
      </c>
      <c r="D42" s="1" t="s">
        <v>117</v>
      </c>
      <c r="E42" s="18">
        <v>2020</v>
      </c>
      <c r="F42" s="18">
        <v>2025</v>
      </c>
      <c r="G42" s="19">
        <f t="shared" si="1"/>
        <v>5</v>
      </c>
    </row>
    <row r="43" spans="1:7" x14ac:dyDescent="0.25">
      <c r="A43" s="16">
        <v>42</v>
      </c>
      <c r="B43" s="1" t="s">
        <v>99</v>
      </c>
      <c r="C43" s="1" t="s">
        <v>65</v>
      </c>
      <c r="D43" s="17" t="s">
        <v>124</v>
      </c>
      <c r="E43" s="18">
        <v>2020</v>
      </c>
      <c r="F43" s="18">
        <v>2025</v>
      </c>
      <c r="G43" s="19">
        <f t="shared" si="1"/>
        <v>5</v>
      </c>
    </row>
    <row r="44" spans="1:7" x14ac:dyDescent="0.25">
      <c r="A44" s="16">
        <v>43</v>
      </c>
      <c r="B44" s="1" t="s">
        <v>100</v>
      </c>
      <c r="C44" s="1" t="s">
        <v>65</v>
      </c>
      <c r="D44" s="1" t="s">
        <v>124</v>
      </c>
      <c r="E44" s="18">
        <v>2020</v>
      </c>
      <c r="F44" s="18">
        <v>2025</v>
      </c>
      <c r="G44" s="19">
        <f t="shared" si="1"/>
        <v>5</v>
      </c>
    </row>
    <row r="45" spans="1:7" x14ac:dyDescent="0.25">
      <c r="A45" s="16">
        <v>44</v>
      </c>
      <c r="B45" s="1" t="s">
        <v>101</v>
      </c>
      <c r="C45" s="1" t="s">
        <v>58</v>
      </c>
      <c r="D45" s="1" t="s">
        <v>111</v>
      </c>
      <c r="E45" s="20">
        <v>2020</v>
      </c>
      <c r="F45" s="18">
        <v>2025</v>
      </c>
      <c r="G45" s="19">
        <f t="shared" si="1"/>
        <v>5</v>
      </c>
    </row>
    <row r="46" spans="1:7" x14ac:dyDescent="0.25">
      <c r="A46" s="16">
        <v>45</v>
      </c>
      <c r="B46" s="1" t="s">
        <v>136</v>
      </c>
      <c r="C46" s="1" t="s">
        <v>65</v>
      </c>
      <c r="D46" s="17" t="s">
        <v>117</v>
      </c>
      <c r="E46" s="18">
        <v>2020</v>
      </c>
      <c r="F46" s="18">
        <v>2025</v>
      </c>
      <c r="G46" s="19">
        <f t="shared" si="1"/>
        <v>5</v>
      </c>
    </row>
    <row r="47" spans="1:7" x14ac:dyDescent="0.25">
      <c r="A47" s="16">
        <v>46</v>
      </c>
      <c r="B47" s="1" t="s">
        <v>157</v>
      </c>
      <c r="C47" s="1" t="s">
        <v>65</v>
      </c>
      <c r="D47" s="1" t="s">
        <v>158</v>
      </c>
      <c r="E47" s="20">
        <v>2020</v>
      </c>
      <c r="F47" s="18">
        <v>2025</v>
      </c>
      <c r="G47" s="19">
        <f t="shared" si="1"/>
        <v>5</v>
      </c>
    </row>
    <row r="48" spans="1:7" x14ac:dyDescent="0.25">
      <c r="A48" s="16">
        <v>47</v>
      </c>
      <c r="B48" s="1" t="s">
        <v>161</v>
      </c>
      <c r="C48" s="1" t="s">
        <v>65</v>
      </c>
      <c r="D48" s="1" t="s">
        <v>158</v>
      </c>
      <c r="E48" s="20">
        <v>2020</v>
      </c>
      <c r="F48" s="18">
        <v>2025</v>
      </c>
      <c r="G48" s="19">
        <f t="shared" si="1"/>
        <v>5</v>
      </c>
    </row>
    <row r="49" spans="1:7" x14ac:dyDescent="0.25">
      <c r="A49" s="16">
        <v>48</v>
      </c>
      <c r="B49" s="1" t="s">
        <v>181</v>
      </c>
      <c r="C49" s="1" t="s">
        <v>65</v>
      </c>
      <c r="D49" s="1" t="s">
        <v>153</v>
      </c>
      <c r="E49" s="18">
        <v>2020</v>
      </c>
      <c r="F49" s="18">
        <v>2025</v>
      </c>
      <c r="G49" s="19">
        <f t="shared" si="1"/>
        <v>5</v>
      </c>
    </row>
    <row r="50" spans="1:7" x14ac:dyDescent="0.25">
      <c r="A50" s="16">
        <v>49</v>
      </c>
      <c r="B50" s="1" t="s">
        <v>198</v>
      </c>
      <c r="C50" s="1" t="s">
        <v>65</v>
      </c>
      <c r="D50" s="1" t="s">
        <v>200</v>
      </c>
      <c r="E50" s="18">
        <v>2020</v>
      </c>
      <c r="F50" s="18">
        <v>2025</v>
      </c>
      <c r="G50" s="19">
        <f t="shared" si="1"/>
        <v>5</v>
      </c>
    </row>
    <row r="51" spans="1:7" x14ac:dyDescent="0.25">
      <c r="A51" s="16">
        <v>50</v>
      </c>
      <c r="B51" s="1" t="s">
        <v>208</v>
      </c>
      <c r="C51" s="1" t="s">
        <v>65</v>
      </c>
      <c r="D51" s="1" t="s">
        <v>158</v>
      </c>
      <c r="E51" s="20">
        <v>2020</v>
      </c>
      <c r="F51" s="18">
        <v>2025</v>
      </c>
      <c r="G51" s="19">
        <f t="shared" si="1"/>
        <v>5</v>
      </c>
    </row>
    <row r="52" spans="1:7" x14ac:dyDescent="0.25">
      <c r="A52" s="16">
        <v>51</v>
      </c>
      <c r="B52" s="1" t="s">
        <v>246</v>
      </c>
      <c r="C52" s="1" t="s">
        <v>65</v>
      </c>
      <c r="D52" s="1" t="s">
        <v>214</v>
      </c>
      <c r="E52" s="20">
        <v>2020</v>
      </c>
      <c r="F52" s="18">
        <v>2025</v>
      </c>
      <c r="G52" s="19">
        <f t="shared" si="1"/>
        <v>5</v>
      </c>
    </row>
    <row r="53" spans="1:7" x14ac:dyDescent="0.25">
      <c r="A53" s="16">
        <v>52</v>
      </c>
      <c r="B53" s="1" t="s">
        <v>258</v>
      </c>
      <c r="C53" s="1" t="s">
        <v>65</v>
      </c>
      <c r="D53" s="1" t="s">
        <v>223</v>
      </c>
      <c r="E53" s="20">
        <v>2020</v>
      </c>
      <c r="F53" s="18">
        <v>2025</v>
      </c>
      <c r="G53" s="19">
        <f t="shared" si="1"/>
        <v>5</v>
      </c>
    </row>
    <row r="54" spans="1:7" x14ac:dyDescent="0.25">
      <c r="A54" s="16">
        <v>53</v>
      </c>
      <c r="B54" s="1" t="s">
        <v>163</v>
      </c>
      <c r="C54" s="1" t="s">
        <v>65</v>
      </c>
      <c r="D54" s="1" t="s">
        <v>165</v>
      </c>
      <c r="E54" s="18">
        <v>2021</v>
      </c>
      <c r="F54" s="18">
        <v>2025</v>
      </c>
      <c r="G54" s="19">
        <f t="shared" si="1"/>
        <v>4</v>
      </c>
    </row>
    <row r="55" spans="1:7" x14ac:dyDescent="0.25">
      <c r="A55" s="16">
        <v>54</v>
      </c>
      <c r="B55" s="1" t="s">
        <v>168</v>
      </c>
      <c r="C55" s="1" t="s">
        <v>65</v>
      </c>
      <c r="D55" s="1" t="s">
        <v>171</v>
      </c>
      <c r="E55" s="20">
        <v>2021</v>
      </c>
      <c r="F55" s="18">
        <v>2025</v>
      </c>
      <c r="G55" s="19">
        <f t="shared" si="1"/>
        <v>4</v>
      </c>
    </row>
    <row r="56" spans="1:7" x14ac:dyDescent="0.25">
      <c r="A56" s="16">
        <v>55</v>
      </c>
      <c r="B56" s="1" t="s">
        <v>184</v>
      </c>
      <c r="C56" s="1" t="s">
        <v>65</v>
      </c>
      <c r="D56" s="1" t="s">
        <v>128</v>
      </c>
      <c r="E56" s="20">
        <v>2021</v>
      </c>
      <c r="F56" s="18">
        <v>2025</v>
      </c>
      <c r="G56" s="19">
        <f t="shared" si="1"/>
        <v>4</v>
      </c>
    </row>
    <row r="57" spans="1:7" x14ac:dyDescent="0.25">
      <c r="A57" s="16">
        <v>56</v>
      </c>
      <c r="B57" s="1" t="s">
        <v>203</v>
      </c>
      <c r="C57" s="1" t="s">
        <v>65</v>
      </c>
      <c r="D57" s="1" t="s">
        <v>128</v>
      </c>
      <c r="E57" s="20">
        <v>2021</v>
      </c>
      <c r="F57" s="18">
        <v>2025</v>
      </c>
      <c r="G57" s="19">
        <f t="shared" si="1"/>
        <v>4</v>
      </c>
    </row>
    <row r="58" spans="1:7" x14ac:dyDescent="0.25">
      <c r="A58" s="16">
        <v>57</v>
      </c>
      <c r="B58" s="1" t="s">
        <v>254</v>
      </c>
      <c r="C58" s="1" t="s">
        <v>65</v>
      </c>
      <c r="D58" s="1" t="s">
        <v>232</v>
      </c>
      <c r="E58" s="20">
        <v>2021</v>
      </c>
      <c r="F58" s="18">
        <v>2025</v>
      </c>
      <c r="G58" s="19">
        <f t="shared" si="1"/>
        <v>4</v>
      </c>
    </row>
    <row r="59" spans="1:7" x14ac:dyDescent="0.25">
      <c r="A59" s="16">
        <v>58</v>
      </c>
      <c r="B59" s="1" t="s">
        <v>255</v>
      </c>
      <c r="C59" s="1" t="s">
        <v>65</v>
      </c>
      <c r="D59" s="1" t="s">
        <v>171</v>
      </c>
      <c r="E59" s="18">
        <v>2021</v>
      </c>
      <c r="F59" s="18">
        <v>2025</v>
      </c>
      <c r="G59" s="19">
        <f t="shared" si="1"/>
        <v>4</v>
      </c>
    </row>
    <row r="60" spans="1:7" x14ac:dyDescent="0.25">
      <c r="A60" s="16">
        <v>59</v>
      </c>
      <c r="B60" s="1" t="s">
        <v>298</v>
      </c>
      <c r="C60" s="1" t="s">
        <v>65</v>
      </c>
      <c r="D60" s="1" t="s">
        <v>128</v>
      </c>
      <c r="E60" s="18">
        <v>2021</v>
      </c>
      <c r="F60" s="18">
        <v>2025</v>
      </c>
      <c r="G60" s="19">
        <f t="shared" si="1"/>
        <v>4</v>
      </c>
    </row>
    <row r="61" spans="1:7" x14ac:dyDescent="0.25">
      <c r="A61" s="16">
        <v>60</v>
      </c>
      <c r="B61" s="1" t="s">
        <v>299</v>
      </c>
      <c r="C61" s="1" t="s">
        <v>65</v>
      </c>
      <c r="D61" s="1" t="s">
        <v>171</v>
      </c>
      <c r="E61" s="20">
        <v>2021</v>
      </c>
      <c r="F61" s="18">
        <v>2025</v>
      </c>
      <c r="G61" s="19">
        <f t="shared" si="1"/>
        <v>4</v>
      </c>
    </row>
    <row r="62" spans="1:7" x14ac:dyDescent="0.25">
      <c r="A62" s="16">
        <v>61</v>
      </c>
      <c r="B62" s="1" t="s">
        <v>302</v>
      </c>
      <c r="C62" s="1" t="s">
        <v>65</v>
      </c>
      <c r="D62" s="1" t="s">
        <v>171</v>
      </c>
      <c r="E62" s="18">
        <v>2021</v>
      </c>
      <c r="F62" s="18">
        <v>2025</v>
      </c>
      <c r="G62" s="19">
        <f t="shared" si="1"/>
        <v>4</v>
      </c>
    </row>
    <row r="63" spans="1:7" x14ac:dyDescent="0.25">
      <c r="A63" s="16">
        <v>62</v>
      </c>
      <c r="B63" s="1" t="s">
        <v>307</v>
      </c>
      <c r="C63" s="1" t="s">
        <v>65</v>
      </c>
      <c r="D63" s="1" t="s">
        <v>288</v>
      </c>
      <c r="E63" s="20">
        <v>2021</v>
      </c>
      <c r="F63" s="18">
        <v>2025</v>
      </c>
      <c r="G63" s="19">
        <f t="shared" si="1"/>
        <v>4</v>
      </c>
    </row>
    <row r="64" spans="1:7" x14ac:dyDescent="0.25">
      <c r="A64" s="16">
        <v>63</v>
      </c>
      <c r="B64" s="1" t="s">
        <v>327</v>
      </c>
      <c r="C64" s="1" t="s">
        <v>65</v>
      </c>
      <c r="D64" s="1" t="s">
        <v>296</v>
      </c>
      <c r="E64" s="20">
        <v>2021</v>
      </c>
      <c r="F64" s="18">
        <v>2025</v>
      </c>
      <c r="G64" s="19">
        <f t="shared" si="1"/>
        <v>4</v>
      </c>
    </row>
    <row r="65" spans="1:7" x14ac:dyDescent="0.25">
      <c r="A65" s="16">
        <v>64</v>
      </c>
      <c r="B65" s="1" t="s">
        <v>145</v>
      </c>
      <c r="C65" s="1" t="s">
        <v>65</v>
      </c>
      <c r="D65" s="8" t="s">
        <v>148</v>
      </c>
      <c r="E65" s="18">
        <v>2022</v>
      </c>
      <c r="F65" s="18">
        <v>2025</v>
      </c>
      <c r="G65" s="19">
        <f t="shared" si="1"/>
        <v>3</v>
      </c>
    </row>
    <row r="66" spans="1:7" x14ac:dyDescent="0.25">
      <c r="A66" s="16">
        <v>65</v>
      </c>
      <c r="B66" s="1" t="s">
        <v>151</v>
      </c>
      <c r="C66" s="1" t="s">
        <v>65</v>
      </c>
      <c r="D66" s="1" t="s">
        <v>153</v>
      </c>
      <c r="E66" s="20">
        <v>2022</v>
      </c>
      <c r="F66" s="18">
        <v>2025</v>
      </c>
      <c r="G66" s="19">
        <f t="shared" ref="G66:G71" si="2">F66-E66</f>
        <v>3</v>
      </c>
    </row>
    <row r="67" spans="1:7" x14ac:dyDescent="0.25">
      <c r="A67" s="16">
        <v>66</v>
      </c>
      <c r="B67" s="1" t="s">
        <v>174</v>
      </c>
      <c r="C67" s="1" t="s">
        <v>65</v>
      </c>
      <c r="D67" s="1" t="s">
        <v>171</v>
      </c>
      <c r="E67" s="18">
        <v>2022</v>
      </c>
      <c r="F67" s="18">
        <v>2025</v>
      </c>
      <c r="G67" s="19">
        <f t="shared" si="2"/>
        <v>3</v>
      </c>
    </row>
    <row r="68" spans="1:7" x14ac:dyDescent="0.25">
      <c r="A68" s="16">
        <v>67</v>
      </c>
      <c r="B68" s="1" t="s">
        <v>176</v>
      </c>
      <c r="C68" s="1" t="s">
        <v>65</v>
      </c>
      <c r="D68" s="1" t="s">
        <v>177</v>
      </c>
      <c r="E68" s="20">
        <v>2022</v>
      </c>
      <c r="F68" s="18">
        <v>2025</v>
      </c>
      <c r="G68" s="19">
        <f t="shared" si="2"/>
        <v>3</v>
      </c>
    </row>
    <row r="69" spans="1:7" x14ac:dyDescent="0.25">
      <c r="A69" s="16">
        <v>68</v>
      </c>
      <c r="B69" s="1" t="s">
        <v>205</v>
      </c>
      <c r="C69" s="1" t="s">
        <v>65</v>
      </c>
      <c r="D69" s="1" t="s">
        <v>171</v>
      </c>
      <c r="E69" s="18">
        <v>2022</v>
      </c>
      <c r="F69" s="18">
        <v>2025</v>
      </c>
      <c r="G69" s="19">
        <f t="shared" si="2"/>
        <v>3</v>
      </c>
    </row>
    <row r="70" spans="1:7" x14ac:dyDescent="0.25">
      <c r="A70" s="16">
        <v>69</v>
      </c>
      <c r="B70" s="1" t="s">
        <v>249</v>
      </c>
      <c r="C70" s="1" t="s">
        <v>65</v>
      </c>
      <c r="D70" s="1" t="s">
        <v>223</v>
      </c>
      <c r="E70" s="18">
        <v>2022</v>
      </c>
      <c r="F70" s="18">
        <v>2025</v>
      </c>
      <c r="G70" s="19">
        <f t="shared" si="2"/>
        <v>3</v>
      </c>
    </row>
    <row r="71" spans="1:7" x14ac:dyDescent="0.25">
      <c r="A71" s="16">
        <v>70</v>
      </c>
      <c r="B71" s="1" t="s">
        <v>301</v>
      </c>
      <c r="C71" s="1" t="s">
        <v>65</v>
      </c>
      <c r="D71" s="1" t="s">
        <v>271</v>
      </c>
      <c r="E71" s="20">
        <v>2022</v>
      </c>
      <c r="F71" s="18">
        <v>2025</v>
      </c>
      <c r="G71" s="19">
        <f t="shared" si="2"/>
        <v>3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C9576-AE26-4472-A10B-16D19FD6274E}">
  <dimension ref="A2:U30"/>
  <sheetViews>
    <sheetView workbookViewId="0">
      <selection activeCell="E9" sqref="E9"/>
    </sheetView>
  </sheetViews>
  <sheetFormatPr defaultRowHeight="15" x14ac:dyDescent="0.25"/>
  <cols>
    <col min="1" max="1" width="15.28515625" customWidth="1"/>
    <col min="2" max="2" width="10" bestFit="1" customWidth="1"/>
    <col min="3" max="3" width="9.5703125" bestFit="1" customWidth="1"/>
    <col min="4" max="4" width="12.42578125" bestFit="1" customWidth="1"/>
    <col min="5" max="5" width="28.7109375" customWidth="1"/>
    <col min="6" max="7" width="9.42578125" bestFit="1" customWidth="1"/>
  </cols>
  <sheetData>
    <row r="2" spans="1:21" x14ac:dyDescent="0.25">
      <c r="F2" s="37" t="s">
        <v>603</v>
      </c>
      <c r="G2" s="37"/>
      <c r="H2" s="37" t="s">
        <v>606</v>
      </c>
      <c r="I2" s="37"/>
      <c r="J2" s="37" t="s">
        <v>607</v>
      </c>
      <c r="K2" s="37"/>
      <c r="L2" s="37" t="s">
        <v>608</v>
      </c>
      <c r="M2" s="37"/>
      <c r="N2" s="37"/>
      <c r="O2" s="37"/>
      <c r="P2" s="37"/>
      <c r="Q2" s="37"/>
      <c r="R2" s="37"/>
      <c r="S2" s="37"/>
      <c r="T2" s="37"/>
      <c r="U2" s="37"/>
    </row>
    <row r="3" spans="1:21" x14ac:dyDescent="0.25">
      <c r="A3" s="7" t="s">
        <v>599</v>
      </c>
      <c r="B3" s="7" t="s">
        <v>600</v>
      </c>
      <c r="C3" s="7" t="s">
        <v>601</v>
      </c>
      <c r="D3" s="7" t="s">
        <v>602</v>
      </c>
      <c r="E3" s="7" t="s">
        <v>609</v>
      </c>
      <c r="F3" s="35" t="s">
        <v>604</v>
      </c>
      <c r="G3" s="35" t="s">
        <v>605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30" x14ac:dyDescent="0.25">
      <c r="A4" s="36" t="s">
        <v>52</v>
      </c>
      <c r="B4" s="1"/>
      <c r="C4" s="1"/>
      <c r="D4" s="1"/>
      <c r="E4" s="33" t="s">
        <v>610</v>
      </c>
      <c r="F4" s="34">
        <v>4000</v>
      </c>
      <c r="G4" s="34">
        <v>4000</v>
      </c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1"/>
    </row>
    <row r="5" spans="1:21" x14ac:dyDescent="0.25">
      <c r="A5" s="1"/>
      <c r="B5" s="1"/>
      <c r="C5" s="1"/>
      <c r="D5" s="1"/>
      <c r="E5" s="1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1"/>
    </row>
    <row r="6" spans="1:21" x14ac:dyDescent="0.25">
      <c r="A6" s="1"/>
      <c r="B6" s="1"/>
      <c r="C6" s="1"/>
      <c r="D6" s="1"/>
      <c r="E6" s="1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1"/>
    </row>
    <row r="7" spans="1:21" x14ac:dyDescent="0.25">
      <c r="A7" s="1"/>
      <c r="B7" s="1"/>
      <c r="C7" s="1"/>
      <c r="D7" s="1"/>
      <c r="E7" s="1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1"/>
    </row>
    <row r="8" spans="1:21" x14ac:dyDescent="0.25">
      <c r="A8" s="1"/>
      <c r="B8" s="1"/>
      <c r="C8" s="1"/>
      <c r="D8" s="1"/>
      <c r="E8" s="1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1"/>
    </row>
    <row r="9" spans="1:21" x14ac:dyDescent="0.25">
      <c r="A9" s="1"/>
      <c r="B9" s="1"/>
      <c r="C9" s="1"/>
      <c r="D9" s="1"/>
      <c r="E9" s="1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1"/>
    </row>
    <row r="10" spans="1:21" x14ac:dyDescent="0.25">
      <c r="A10" s="1"/>
      <c r="B10" s="1"/>
      <c r="C10" s="1"/>
      <c r="D10" s="1"/>
      <c r="E10" s="1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1"/>
    </row>
    <row r="11" spans="1:21" x14ac:dyDescent="0.25">
      <c r="A11" s="1"/>
      <c r="B11" s="1"/>
      <c r="C11" s="1"/>
      <c r="D11" s="1"/>
      <c r="E11" s="1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1"/>
    </row>
    <row r="12" spans="1:21" x14ac:dyDescent="0.25">
      <c r="A12" s="1"/>
      <c r="B12" s="1"/>
      <c r="C12" s="1"/>
      <c r="D12" s="1"/>
      <c r="E12" s="1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1"/>
    </row>
    <row r="13" spans="1:21" x14ac:dyDescent="0.25">
      <c r="A13" s="1"/>
      <c r="B13" s="1"/>
      <c r="C13" s="1"/>
      <c r="D13" s="1"/>
      <c r="E13" s="1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1"/>
    </row>
    <row r="14" spans="1:21" x14ac:dyDescent="0.25">
      <c r="A14" s="1"/>
      <c r="B14" s="1"/>
      <c r="C14" s="1"/>
      <c r="D14" s="1"/>
      <c r="E14" s="1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1"/>
    </row>
    <row r="15" spans="1:21" x14ac:dyDescent="0.25">
      <c r="A15" s="1"/>
      <c r="B15" s="1"/>
      <c r="C15" s="1"/>
      <c r="D15" s="1"/>
      <c r="E15" s="1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1"/>
    </row>
    <row r="16" spans="1:21" x14ac:dyDescent="0.25">
      <c r="A16" s="1"/>
      <c r="B16" s="1"/>
      <c r="C16" s="1"/>
      <c r="D16" s="1"/>
      <c r="E16" s="1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1"/>
    </row>
    <row r="17" spans="1:21" x14ac:dyDescent="0.25">
      <c r="A17" s="1"/>
      <c r="B17" s="1"/>
      <c r="C17" s="1"/>
      <c r="D17" s="1"/>
      <c r="E17" s="1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1"/>
    </row>
    <row r="18" spans="1:21" x14ac:dyDescent="0.25">
      <c r="A18" s="1"/>
      <c r="B18" s="1"/>
      <c r="C18" s="1"/>
      <c r="D18" s="1"/>
      <c r="E18" s="1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1"/>
    </row>
    <row r="19" spans="1:21" x14ac:dyDescent="0.25">
      <c r="A19" s="1"/>
      <c r="B19" s="1"/>
      <c r="C19" s="1"/>
      <c r="D19" s="1"/>
      <c r="E19" s="1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1"/>
    </row>
    <row r="20" spans="1:21" x14ac:dyDescent="0.25">
      <c r="A20" s="1"/>
      <c r="B20" s="1"/>
      <c r="C20" s="1"/>
      <c r="D20" s="1"/>
      <c r="E20" s="1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1"/>
    </row>
    <row r="21" spans="1:21" x14ac:dyDescent="0.25">
      <c r="A21" s="1"/>
      <c r="B21" s="1"/>
      <c r="C21" s="1"/>
      <c r="D21" s="1"/>
      <c r="E21" s="1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1"/>
    </row>
    <row r="22" spans="1:21" x14ac:dyDescent="0.25">
      <c r="A22" s="1"/>
      <c r="B22" s="1"/>
      <c r="C22" s="1"/>
      <c r="D22" s="1"/>
      <c r="E22" s="1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1"/>
    </row>
    <row r="23" spans="1:21" x14ac:dyDescent="0.25">
      <c r="A23" s="1"/>
      <c r="B23" s="1"/>
      <c r="C23" s="1"/>
      <c r="D23" s="1"/>
      <c r="E23" s="1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1"/>
    </row>
    <row r="24" spans="1:21" x14ac:dyDescent="0.25">
      <c r="A24" s="1"/>
      <c r="B24" s="1"/>
      <c r="C24" s="1"/>
      <c r="D24" s="1"/>
      <c r="E24" s="1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1"/>
    </row>
    <row r="25" spans="1:21" x14ac:dyDescent="0.25">
      <c r="A25" s="1"/>
      <c r="B25" s="1"/>
      <c r="C25" s="1"/>
      <c r="D25" s="1"/>
      <c r="E25" s="1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1"/>
    </row>
    <row r="26" spans="1:21" x14ac:dyDescent="0.25">
      <c r="A26" s="1"/>
      <c r="B26" s="1"/>
      <c r="C26" s="1"/>
      <c r="D26" s="1"/>
      <c r="E26" s="1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1"/>
    </row>
    <row r="27" spans="1:21" x14ac:dyDescent="0.25">
      <c r="A27" s="1"/>
      <c r="B27" s="1"/>
      <c r="C27" s="1"/>
      <c r="D27" s="1"/>
      <c r="E27" s="1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1"/>
    </row>
    <row r="28" spans="1:21" x14ac:dyDescent="0.25">
      <c r="A28" s="1"/>
      <c r="B28" s="1"/>
      <c r="C28" s="1"/>
      <c r="D28" s="1"/>
      <c r="E28" s="1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1"/>
    </row>
    <row r="29" spans="1:21" x14ac:dyDescent="0.25">
      <c r="A29" s="1"/>
      <c r="B29" s="1"/>
      <c r="C29" s="1"/>
      <c r="D29" s="1"/>
      <c r="E29" s="1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1"/>
    </row>
    <row r="30" spans="1:21" x14ac:dyDescent="0.25">
      <c r="A30" s="1"/>
      <c r="B30" s="1"/>
      <c r="C30" s="1"/>
      <c r="D30" s="1"/>
      <c r="E30" s="1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1"/>
    </row>
  </sheetData>
  <mergeCells count="8">
    <mergeCell ref="R2:S2"/>
    <mergeCell ref="T2:U2"/>
    <mergeCell ref="F2:G2"/>
    <mergeCell ref="H2:I2"/>
    <mergeCell ref="J2:K2"/>
    <mergeCell ref="L2:M2"/>
    <mergeCell ref="N2:O2"/>
    <mergeCell ref="P2:Q2"/>
  </mergeCells>
  <phoneticPr fontId="2" type="noConversion"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61031-DC4C-4173-ABFD-F944F52133F4}">
  <dimension ref="A2:F14"/>
  <sheetViews>
    <sheetView workbookViewId="0">
      <selection activeCell="E2" sqref="E2"/>
    </sheetView>
  </sheetViews>
  <sheetFormatPr defaultRowHeight="15" x14ac:dyDescent="0.25"/>
  <cols>
    <col min="1" max="1" width="39.140625" bestFit="1" customWidth="1"/>
    <col min="5" max="5" width="16.28515625" bestFit="1" customWidth="1"/>
  </cols>
  <sheetData>
    <row r="2" spans="1:6" x14ac:dyDescent="0.25">
      <c r="A2" s="1" t="s">
        <v>612</v>
      </c>
      <c r="B2" s="1" t="s">
        <v>613</v>
      </c>
      <c r="E2" t="s">
        <v>617</v>
      </c>
      <c r="F2" t="s">
        <v>624</v>
      </c>
    </row>
    <row r="3" spans="1:6" x14ac:dyDescent="0.25">
      <c r="A3" s="1" t="s">
        <v>577</v>
      </c>
      <c r="B3" s="38" t="s">
        <v>614</v>
      </c>
      <c r="E3" t="s">
        <v>618</v>
      </c>
    </row>
    <row r="4" spans="1:6" x14ac:dyDescent="0.25">
      <c r="A4" s="1" t="s">
        <v>573</v>
      </c>
      <c r="B4" s="38"/>
      <c r="E4" t="s">
        <v>619</v>
      </c>
    </row>
    <row r="5" spans="1:6" x14ac:dyDescent="0.25">
      <c r="A5" s="1" t="s">
        <v>576</v>
      </c>
      <c r="B5" s="38"/>
      <c r="E5" t="s">
        <v>620</v>
      </c>
    </row>
    <row r="6" spans="1:6" x14ac:dyDescent="0.25">
      <c r="A6" s="1" t="s">
        <v>578</v>
      </c>
      <c r="B6" s="38"/>
      <c r="E6" t="s">
        <v>621</v>
      </c>
    </row>
    <row r="7" spans="1:6" x14ac:dyDescent="0.25">
      <c r="E7" t="s">
        <v>622</v>
      </c>
      <c r="F7" t="s">
        <v>624</v>
      </c>
    </row>
    <row r="8" spans="1:6" x14ac:dyDescent="0.25">
      <c r="A8" s="1" t="s">
        <v>579</v>
      </c>
      <c r="B8" s="1" t="s">
        <v>222</v>
      </c>
      <c r="E8" t="s">
        <v>623</v>
      </c>
    </row>
    <row r="10" spans="1:6" x14ac:dyDescent="0.25">
      <c r="A10" s="1" t="s">
        <v>597</v>
      </c>
      <c r="B10" s="1" t="s">
        <v>616</v>
      </c>
    </row>
    <row r="12" spans="1:6" x14ac:dyDescent="0.25">
      <c r="A12" s="1" t="s">
        <v>598</v>
      </c>
      <c r="B12" s="1" t="s">
        <v>614</v>
      </c>
    </row>
    <row r="14" spans="1:6" x14ac:dyDescent="0.25">
      <c r="A14" s="1" t="s">
        <v>611</v>
      </c>
      <c r="B14" s="1" t="s">
        <v>615</v>
      </c>
    </row>
  </sheetData>
  <mergeCells count="1">
    <mergeCell ref="B3:B6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Inventario</vt:lpstr>
      <vt:lpstr>Sistemas</vt:lpstr>
      <vt:lpstr>Projetos em Andamento</vt:lpstr>
      <vt:lpstr>Mapa da rede</vt:lpstr>
      <vt:lpstr>Mapa sistemas</vt:lpstr>
      <vt:lpstr>Planilha1</vt:lpstr>
      <vt:lpstr>Orçamento</vt:lpstr>
      <vt:lpstr>Tarefas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Souza</dc:creator>
  <cp:lastModifiedBy>Leonardo Manzini</cp:lastModifiedBy>
  <cp:lastPrinted>2025-05-07T11:51:29Z</cp:lastPrinted>
  <dcterms:created xsi:type="dcterms:W3CDTF">2025-03-31T17:25:50Z</dcterms:created>
  <dcterms:modified xsi:type="dcterms:W3CDTF">2025-05-09T20:28:00Z</dcterms:modified>
</cp:coreProperties>
</file>